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Work\Lenovo\Paros\ov08D\"/>
    </mc:Choice>
  </mc:AlternateContent>
  <xr:revisionPtr revIDLastSave="0" documentId="13_ncr:1_{2F8C3BBA-5A0A-4F06-97B3-BFFB8DEE8B0A}" xr6:coauthVersionLast="36" xr6:coauthVersionMax="36" xr10:uidLastSave="{00000000-0000-0000-0000-000000000000}"/>
  <bookViews>
    <workbookView xWindow="-120" yWindow="-120" windowWidth="29040" windowHeight="15720" activeTab="1" xr2:uid="{00000000-000D-0000-FFFF-FFFF00000000}"/>
  </bookViews>
  <sheets>
    <sheet name="基本信息" sheetId="1" r:id="rId1"/>
    <sheet name="FAE填写" sheetId="2" r:id="rId2"/>
  </sheets>
  <calcPr calcId="191029"/>
</workbook>
</file>

<file path=xl/calcChain.xml><?xml version="1.0" encoding="utf-8"?>
<calcChain xmlns="http://schemas.openxmlformats.org/spreadsheetml/2006/main">
  <c r="E8" i="2" l="1"/>
  <c r="P8" i="2"/>
  <c r="Q8" i="2" s="1"/>
  <c r="P7" i="2" l="1"/>
  <c r="Q7" i="2" s="1"/>
  <c r="E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7" authorId="0" shapeId="0" xr:uid="{00000000-0006-0000-0000-000001000000}">
      <text>
        <r>
          <rPr>
            <sz val="10"/>
            <color rgb="FF000000"/>
            <rFont val="Arial"/>
            <family val="2"/>
          </rPr>
          <t>sync signal input</t>
        </r>
      </text>
    </comment>
    <comment ref="E17" authorId="0" shapeId="0" xr:uid="{00000000-0006-0000-0000-000002000000}">
      <text>
        <r>
          <rPr>
            <sz val="10"/>
            <color rgb="FF000000"/>
            <rFont val="Arial"/>
            <family val="2"/>
          </rPr>
          <t>sync signal output</t>
        </r>
      </text>
    </comment>
    <comment ref="I17" authorId="0" shapeId="0" xr:uid="{00000000-0006-0000-0000-000003000000}">
      <text>
        <r>
          <rPr>
            <sz val="10"/>
            <color rgb="FF000000"/>
            <rFont val="Arial"/>
            <family val="2"/>
          </rPr>
          <t>MTK platform has vertical blanking requirements.
Qualcomm normally we can ignore this item.</t>
        </r>
      </text>
    </comment>
    <comment ref="J17" authorId="0" shapeId="0" xr:uid="{00000000-0006-0000-0000-000004000000}">
      <text>
        <r>
          <rPr>
            <sz val="10"/>
            <color rgb="FF000000"/>
            <rFont val="Arial"/>
            <family val="2"/>
          </rPr>
          <t>Yes/No</t>
        </r>
      </text>
    </comment>
    <comment ref="K17" authorId="0" shapeId="0" xr:uid="{00000000-0006-0000-0000-000005000000}">
      <text>
        <r>
          <rPr>
            <sz val="10"/>
            <color rgb="FF000000"/>
            <rFont val="Arial"/>
            <family val="2"/>
          </rPr>
          <t>Yes/No</t>
        </r>
      </text>
    </comment>
    <comment ref="L17" authorId="0" shapeId="0" xr:uid="{00000000-0006-0000-0000-000006000000}">
      <text>
        <r>
          <rPr>
            <sz val="10"/>
            <color rgb="FF000000"/>
            <rFont val="Arial"/>
            <family val="2"/>
          </rPr>
          <t>OV Sensor: 4C1/4C2
Samsung Sensor: 4Sum/2Sum2Avg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5" authorId="0" shapeId="0" xr:uid="{00000000-0006-0000-0100-000001000000}">
      <text>
        <r>
          <rPr>
            <sz val="10"/>
            <color rgb="FF000000"/>
            <rFont val="Arial"/>
            <family val="2"/>
          </rPr>
          <t>Vertical Blanking:
(VTS - Vsize) * Tline</t>
        </r>
      </text>
    </comment>
    <comment ref="R5" authorId="0" shapeId="0" xr:uid="{00000000-0006-0000-0100-000002000000}">
      <text>
        <r>
          <rPr>
            <sz val="10"/>
            <color rgb="FF000000"/>
            <rFont val="Arial"/>
            <family val="2"/>
          </rPr>
          <t>minimum line count</t>
        </r>
      </text>
    </comment>
    <comment ref="S5" authorId="0" shapeId="0" xr:uid="{00000000-0006-0000-0100-000003000000}">
      <text>
        <r>
          <rPr>
            <sz val="10"/>
            <color rgb="FF000000"/>
            <rFont val="Arial"/>
            <family val="2"/>
          </rPr>
          <t>Minimum line increasing count.</t>
        </r>
      </text>
    </comment>
    <comment ref="T5" authorId="0" shapeId="0" xr:uid="{00000000-0006-0000-0100-000004000000}">
      <text>
        <r>
          <rPr>
            <sz val="10"/>
            <color rgb="FF000000"/>
            <rFont val="Arial"/>
            <family val="2"/>
          </rPr>
          <t>maxim line count</t>
        </r>
      </text>
    </comment>
    <comment ref="X5" authorId="0" shapeId="0" xr:uid="{00000000-0006-0000-0100-000005000000}">
      <text>
        <r>
          <rPr>
            <sz val="10"/>
            <color rgb="FF000000"/>
            <rFont val="Arial"/>
            <family val="2"/>
          </rPr>
          <t>PD type, for example:
Type1
Type2
Type3</t>
        </r>
      </text>
    </comment>
    <comment ref="G6" authorId="0" shapeId="0" xr:uid="{00000000-0006-0000-0100-000006000000}">
      <text>
        <r>
          <rPr>
            <sz val="10"/>
            <color rgb="FF000000"/>
            <rFont val="Arial"/>
            <family val="2"/>
          </rPr>
          <t>CPHY or DPHY?</t>
        </r>
      </text>
    </comment>
    <comment ref="I6" authorId="0" shapeId="0" xr:uid="{00000000-0006-0000-0100-000007000000}">
      <text>
        <r>
          <rPr>
            <sz val="10"/>
            <color rgb="FF000000"/>
            <rFont val="Arial"/>
            <family val="2"/>
          </rPr>
          <t>Platform MIPI limit</t>
        </r>
      </text>
    </comment>
    <comment ref="J6" authorId="0" shapeId="0" xr:uid="{00000000-0006-0000-0100-000008000000}">
      <text>
        <r>
          <rPr>
            <sz val="10"/>
            <color rgb="FF000000"/>
            <rFont val="Arial"/>
            <family val="2"/>
          </rPr>
          <t>MIPI data rate.
Unit is Mbps.</t>
        </r>
      </text>
    </comment>
    <comment ref="K6" authorId="0" shapeId="0" xr:uid="{00000000-0006-0000-0100-000009000000}">
      <text>
        <r>
          <rPr>
            <sz val="10"/>
            <color rgb="FF000000"/>
            <rFont val="Arial"/>
            <family val="2"/>
          </rPr>
          <t>MIPI data type.</t>
        </r>
      </text>
    </comment>
    <comment ref="L6" authorId="0" shapeId="0" xr:uid="{00000000-0006-0000-0100-00000A000000}">
      <text>
        <r>
          <rPr>
            <sz val="10"/>
            <color rgb="FF000000"/>
            <rFont val="Arial"/>
            <family val="2"/>
          </rPr>
          <t>MIPI data bit width.</t>
        </r>
      </text>
    </comment>
    <comment ref="V6" authorId="0" shapeId="0" xr:uid="{00000000-0006-0000-0100-00000B000000}">
      <text>
        <r>
          <rPr>
            <sz val="10"/>
            <color rgb="FF000000"/>
            <rFont val="Arial"/>
            <family val="2"/>
          </rPr>
          <t>vertical bining factor.</t>
        </r>
      </text>
    </comment>
    <comment ref="W6" authorId="0" shapeId="0" xr:uid="{00000000-0006-0000-0100-00000C000000}">
      <text>
        <r>
          <rPr>
            <sz val="10"/>
            <color rgb="FF000000"/>
            <rFont val="Arial"/>
            <family val="2"/>
          </rPr>
          <t>horizontal bining factor.</t>
        </r>
      </text>
    </comment>
  </commentList>
</comments>
</file>

<file path=xl/sharedStrings.xml><?xml version="1.0" encoding="utf-8"?>
<sst xmlns="http://schemas.openxmlformats.org/spreadsheetml/2006/main" count="119" uniqueCount="93">
  <si>
    <t>Basic Information</t>
  </si>
  <si>
    <t>Sensor name</t>
  </si>
  <si>
    <t>Platform</t>
  </si>
  <si>
    <t>MCLK</t>
  </si>
  <si>
    <t>MIPI CLK less than what speed</t>
  </si>
  <si>
    <t xml:space="preserve">MIPI Phy Type </t>
  </si>
  <si>
    <t>Lane number</t>
  </si>
  <si>
    <t>Vblank</t>
  </si>
  <si>
    <t>Mirror</t>
  </si>
  <si>
    <t>Flip</t>
  </si>
  <si>
    <t>BPC,DPC support</t>
  </si>
  <si>
    <t>Yes</t>
  </si>
  <si>
    <t>Sensor LSC support</t>
  </si>
  <si>
    <t>I2C Burst Write Support</t>
  </si>
  <si>
    <t>Resolution Setting</t>
  </si>
  <si>
    <t>Optional</t>
  </si>
  <si>
    <t>Resolution</t>
  </si>
  <si>
    <t>PDAF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</si>
  <si>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</si>
  <si>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</si>
  <si>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</si>
  <si>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</si>
  <si>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</si>
  <si>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</si>
  <si>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</si>
  <si>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</si>
  <si>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</si>
  <si>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Test Pattern</t>
  </si>
  <si>
    <t>Black</t>
  </si>
  <si>
    <t>分辨率尺寸及帧率</t>
  </si>
  <si>
    <t>fps</t>
  </si>
  <si>
    <t>MIPI</t>
  </si>
  <si>
    <t>HTS(LineLengthPixelClock)</t>
  </si>
  <si>
    <t>VTS(FrameLengthLines)</t>
  </si>
  <si>
    <t>PixelClock</t>
  </si>
  <si>
    <t>Tline</t>
  </si>
  <si>
    <t>V_blanking</t>
  </si>
  <si>
    <t>min exposure</t>
  </si>
  <si>
    <t>exposure step</t>
  </si>
  <si>
    <t>max exposure</t>
  </si>
  <si>
    <t>max Again</t>
  </si>
  <si>
    <t>Bining factor</t>
  </si>
  <si>
    <t>PD Type</t>
  </si>
  <si>
    <t>Bayer Pattern</t>
  </si>
  <si>
    <t>Hsize (width)</t>
  </si>
  <si>
    <t>Vsize (height)</t>
  </si>
  <si>
    <t>[MHz]</t>
  </si>
  <si>
    <t>PHY类别</t>
  </si>
  <si>
    <t>lane count</t>
  </si>
  <si>
    <t>要求</t>
  </si>
  <si>
    <t>data rate(Mbps)</t>
  </si>
  <si>
    <t>data type</t>
  </si>
  <si>
    <t>bit width</t>
  </si>
  <si>
    <t>R380C~D（HEX）</t>
  </si>
  <si>
    <t>R380E~F（HEX）</t>
  </si>
  <si>
    <t>MHZ</t>
  </si>
  <si>
    <t>us</t>
  </si>
  <si>
    <t>ms</t>
  </si>
  <si>
    <t>line</t>
  </si>
  <si>
    <t>vertical</t>
  </si>
  <si>
    <t>horizontal</t>
  </si>
  <si>
    <t>需要FAE提供资料</t>
  </si>
  <si>
    <t>ON</t>
    <phoneticPr fontId="21" type="noConversion"/>
  </si>
  <si>
    <t>yes</t>
    <phoneticPr fontId="21" type="noConversion"/>
  </si>
  <si>
    <t>DPHY</t>
    <phoneticPr fontId="21" type="noConversion"/>
  </si>
  <si>
    <t>24M</t>
    <phoneticPr fontId="21" type="noConversion"/>
  </si>
  <si>
    <t>D-Phy</t>
  </si>
  <si>
    <r>
      <rPr>
        <b/>
        <sz val="12"/>
        <color theme="1"/>
        <rFont val="微软雅黑"/>
        <family val="2"/>
        <charset val="134"/>
      </rPr>
      <t>OV50D模组</t>
    </r>
    <r>
      <rPr>
        <b/>
        <sz val="12"/>
        <color theme="1"/>
        <rFont val="Arial"/>
        <family val="2"/>
      </rPr>
      <t xml:space="preserve">setting </t>
    </r>
    <r>
      <rPr>
        <b/>
        <sz val="12"/>
        <color theme="1"/>
        <rFont val="微软雅黑"/>
        <family val="2"/>
        <charset val="134"/>
      </rPr>
      <t>说明表</t>
    </r>
    <phoneticPr fontId="21" type="noConversion"/>
  </si>
  <si>
    <t>On</t>
  </si>
  <si>
    <t>Min Exposure Time</t>
    <phoneticPr fontId="21" type="noConversion"/>
  </si>
  <si>
    <t>High gain mode</t>
    <phoneticPr fontId="21" type="noConversion"/>
  </si>
  <si>
    <t>Mode</t>
    <phoneticPr fontId="21" type="noConversion"/>
  </si>
  <si>
    <t>Feature</t>
    <phoneticPr fontId="21" type="noConversion"/>
  </si>
  <si>
    <t>0x2B</t>
    <phoneticPr fontId="21" type="noConversion"/>
  </si>
  <si>
    <t>0x2B</t>
    <phoneticPr fontId="21" type="noConversion"/>
  </si>
  <si>
    <t>Yes</t>
    <phoneticPr fontId="21" type="noConversion"/>
  </si>
  <si>
    <t>preview</t>
    <phoneticPr fontId="21" type="noConversion"/>
  </si>
  <si>
    <t>preview</t>
    <phoneticPr fontId="21" type="noConversion"/>
  </si>
  <si>
    <t>OV08D</t>
    <phoneticPr fontId="21" type="noConversion"/>
  </si>
  <si>
    <t>Qualcomm</t>
    <phoneticPr fontId="21" type="noConversion"/>
  </si>
  <si>
    <t>Na</t>
    <phoneticPr fontId="21" type="noConversion"/>
  </si>
  <si>
    <t>Na</t>
    <phoneticPr fontId="21" type="noConversion"/>
  </si>
  <si>
    <t>No</t>
    <phoneticPr fontId="21" type="noConversion"/>
  </si>
  <si>
    <t>3264x2448@30fps</t>
    <phoneticPr fontId="21" type="noConversion"/>
  </si>
  <si>
    <t>No</t>
    <phoneticPr fontId="21" type="noConversion"/>
  </si>
  <si>
    <t>NO</t>
    <phoneticPr fontId="21" type="noConversion"/>
  </si>
  <si>
    <t>Paros_ov08D_mirror on_flip on</t>
    <phoneticPr fontId="21" type="noConversion"/>
  </si>
  <si>
    <t>2Lanes</t>
    <phoneticPr fontId="21" type="noConversion"/>
  </si>
  <si>
    <t>1cc</t>
    <phoneticPr fontId="21" type="noConversion"/>
  </si>
  <si>
    <t>a30</t>
    <phoneticPr fontId="21" type="noConversion"/>
  </si>
  <si>
    <r>
      <t>VTS-</t>
    </r>
    <r>
      <rPr>
        <sz val="10"/>
        <color theme="1"/>
        <rFont val="微软雅黑"/>
        <family val="2"/>
        <charset val="134"/>
      </rPr>
      <t>20</t>
    </r>
    <phoneticPr fontId="21" type="noConversion"/>
  </si>
  <si>
    <t>3264x1836@30fps</t>
    <phoneticPr fontId="21" type="noConversion"/>
  </si>
  <si>
    <t>RGGB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</si>
</sst>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FF"/>
      <name val="Arial"/>
      <family val="2"/>
    </font>
    <font>
      <sz val="12"/>
      <color theme="1"/>
      <name val="宋体"/>
      <family val="3"/>
      <charset val="134"/>
    </font>
    <font>
      <b/>
      <sz val="10"/>
      <color rgb="FFFFFFFF"/>
      <name val="Meiryo"/>
      <family val="2"/>
      <charset val="128"/>
    </font>
    <font>
      <b/>
      <sz val="12"/>
      <color rgb="FFFFFFFF"/>
      <name val="Arial"/>
      <family val="2"/>
    </font>
    <font>
      <sz val="10"/>
      <color theme="1"/>
      <name val="Meiryo"/>
      <family val="2"/>
      <charset val="128"/>
    </font>
    <font>
      <sz val="10"/>
      <color rgb="FF000000"/>
      <name val="Meiryo"/>
      <family val="2"/>
      <charset val="128"/>
    </font>
    <font>
      <sz val="10"/>
      <color rgb="FF000000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Meiryo"/>
      <family val="2"/>
      <charset val="128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微软雅黑"/>
      <family val="2"/>
      <charset val="134"/>
    </font>
    <font>
      <b/>
      <sz val="12"/>
      <color theme="1"/>
      <name val="Arial"/>
      <family val="2"/>
    </font>
    <font>
      <b/>
      <sz val="12"/>
      <color theme="1"/>
      <name val="&quot;Times New Roman&quot;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rgb="FF538DD5"/>
        <bgColor rgb="FF538DD5"/>
      </patternFill>
    </fill>
    <fill>
      <patternFill patternType="solid">
        <fgColor rgb="FF969696"/>
        <bgColor rgb="FF969696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0" applyFont="1" applyBorder="1"/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4" borderId="0" xfId="0" applyFont="1" applyFill="1"/>
    <xf numFmtId="0" fontId="13" fillId="0" borderId="0" xfId="0" applyFont="1"/>
    <xf numFmtId="0" fontId="14" fillId="6" borderId="1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7" fillId="0" borderId="5" xfId="0" applyFont="1" applyBorder="1" applyAlignment="1">
      <alignment horizontal="left"/>
    </xf>
    <xf numFmtId="0" fontId="18" fillId="9" borderId="5" xfId="0" applyFont="1" applyFill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6" fillId="10" borderId="5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18" fillId="9" borderId="7" xfId="0" applyFont="1" applyFill="1" applyBorder="1" applyAlignment="1">
      <alignment horizontal="left"/>
    </xf>
    <xf numFmtId="0" fontId="16" fillId="10" borderId="7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0" fillId="0" borderId="0" xfId="0" applyFont="1"/>
    <xf numFmtId="0" fontId="23" fillId="2" borderId="1" xfId="0" applyFont="1" applyFill="1" applyBorder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5" fillId="2" borderId="1" xfId="1" applyFill="1" applyBorder="1"/>
    <xf numFmtId="0" fontId="0" fillId="0" borderId="0" xfId="0"/>
    <xf numFmtId="0" fontId="4" fillId="0" borderId="0" xfId="0" applyFont="1" applyBorder="1"/>
    <xf numFmtId="0" fontId="2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0" fillId="0" borderId="0" xfId="0"/>
    <xf numFmtId="0" fontId="19" fillId="0" borderId="7" xfId="0" applyFont="1" applyBorder="1" applyAlignment="1">
      <alignment horizontal="center"/>
    </xf>
    <xf numFmtId="0" fontId="19" fillId="10" borderId="5" xfId="0" applyFont="1" applyFill="1" applyBorder="1" applyAlignment="1">
      <alignment horizontal="center"/>
    </xf>
    <xf numFmtId="0" fontId="7" fillId="0" borderId="0" xfId="0" applyFont="1"/>
    <xf numFmtId="0" fontId="0" fillId="0" borderId="0" xfId="0"/>
    <xf numFmtId="0" fontId="28" fillId="5" borderId="2" xfId="0" applyFont="1" applyFill="1" applyBorder="1" applyAlignment="1">
      <alignment horizontal="center"/>
    </xf>
    <xf numFmtId="0" fontId="9" fillId="0" borderId="2" xfId="0" applyFont="1" applyBorder="1"/>
    <xf numFmtId="0" fontId="14" fillId="6" borderId="3" xfId="0" applyFont="1" applyFill="1" applyBorder="1" applyAlignment="1">
      <alignment horizontal="center"/>
    </xf>
    <xf numFmtId="0" fontId="9" fillId="0" borderId="8" xfId="0" applyFont="1" applyBorder="1"/>
    <xf numFmtId="0" fontId="14" fillId="6" borderId="4" xfId="0" applyFont="1" applyFill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0" fontId="15" fillId="7" borderId="3" xfId="0" applyFont="1" applyFill="1" applyBorder="1" applyAlignment="1">
      <alignment horizontal="center"/>
    </xf>
    <xf numFmtId="0" fontId="9" fillId="0" borderId="10" xfId="0" applyFont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3264x1836@30fps" TargetMode="External"/><Relationship Id="rId1" Type="http://schemas.openxmlformats.org/officeDocument/2006/relationships/hyperlink" Target="mailto:3264x2448@30fp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6"/>
  <sheetViews>
    <sheetView topLeftCell="A7" workbookViewId="0">
      <selection activeCell="C23" sqref="C23"/>
    </sheetView>
  </sheetViews>
  <sheetFormatPr defaultColWidth="14.44140625" defaultRowHeight="15.75" customHeight="1"/>
  <cols>
    <col min="1" max="1" width="33.33203125" customWidth="1"/>
    <col min="2" max="2" width="18.6640625" customWidth="1"/>
    <col min="3" max="3" width="18.6640625" style="45" customWidth="1"/>
    <col min="4" max="4" width="9.5546875" customWidth="1"/>
    <col min="5" max="5" width="9.33203125" customWidth="1"/>
    <col min="6" max="6" width="28" customWidth="1"/>
    <col min="7" max="7" width="18" customWidth="1"/>
    <col min="8" max="8" width="20.33203125" customWidth="1"/>
  </cols>
  <sheetData>
    <row r="1" spans="1:12" ht="15.75" customHeight="1">
      <c r="A1" s="1" t="s">
        <v>0</v>
      </c>
      <c r="B1" s="2"/>
      <c r="C1" s="2"/>
      <c r="D1" s="2"/>
      <c r="E1" s="2"/>
      <c r="F1" s="2"/>
      <c r="G1" s="2"/>
    </row>
    <row r="2" spans="1:12" ht="15.75" customHeight="1">
      <c r="A2" s="3" t="s">
        <v>1</v>
      </c>
      <c r="B2" s="4" t="s">
        <v>78</v>
      </c>
      <c r="C2" s="46"/>
      <c r="D2" s="2"/>
      <c r="E2" s="2"/>
      <c r="F2" s="2"/>
      <c r="G2" s="2"/>
    </row>
    <row r="3" spans="1:12" ht="15.75" customHeight="1">
      <c r="A3" s="3" t="s">
        <v>2</v>
      </c>
      <c r="B3" s="8" t="s">
        <v>79</v>
      </c>
      <c r="C3" s="47"/>
      <c r="D3" s="2"/>
      <c r="E3" s="2"/>
      <c r="F3" s="2"/>
      <c r="G3" s="2"/>
    </row>
    <row r="4" spans="1:12" ht="15.75" customHeight="1">
      <c r="A4" s="3" t="s">
        <v>3</v>
      </c>
      <c r="B4" s="4" t="s">
        <v>65</v>
      </c>
      <c r="C4" s="46"/>
      <c r="D4" s="2"/>
      <c r="E4" s="2"/>
      <c r="F4" s="2"/>
      <c r="G4" s="2"/>
    </row>
    <row r="5" spans="1:12" ht="15.75" customHeight="1">
      <c r="A5" s="3" t="s">
        <v>4</v>
      </c>
      <c r="B5" s="4" t="s">
        <v>80</v>
      </c>
      <c r="C5" s="46"/>
      <c r="D5" s="2"/>
      <c r="E5" s="2"/>
      <c r="F5" s="2"/>
      <c r="G5" s="2"/>
    </row>
    <row r="6" spans="1:12" ht="15.75" customHeight="1">
      <c r="A6" s="3" t="s">
        <v>5</v>
      </c>
      <c r="B6" s="6" t="s">
        <v>66</v>
      </c>
      <c r="C6" s="48"/>
      <c r="D6" s="2"/>
      <c r="E6" s="2"/>
      <c r="F6" s="2"/>
      <c r="G6" s="2"/>
    </row>
    <row r="7" spans="1:12" ht="15.75" customHeight="1">
      <c r="A7" s="3" t="s">
        <v>6</v>
      </c>
      <c r="B7" s="7">
        <v>2</v>
      </c>
      <c r="C7" s="49"/>
      <c r="D7" s="2"/>
      <c r="E7" s="2"/>
      <c r="F7" s="2"/>
      <c r="G7" s="2"/>
    </row>
    <row r="8" spans="1:12" ht="15.75" customHeight="1">
      <c r="A8" s="3" t="s">
        <v>7</v>
      </c>
      <c r="B8" s="4" t="s">
        <v>81</v>
      </c>
      <c r="C8" s="46"/>
      <c r="D8" s="2"/>
      <c r="E8" s="2"/>
      <c r="F8" s="2"/>
      <c r="G8" s="2"/>
    </row>
    <row r="9" spans="1:12" ht="15.75" customHeight="1">
      <c r="A9" s="3" t="s">
        <v>69</v>
      </c>
      <c r="B9" s="4" t="s">
        <v>80</v>
      </c>
      <c r="C9" s="46"/>
      <c r="D9" s="2"/>
      <c r="E9" s="2"/>
      <c r="F9" s="2"/>
      <c r="G9" s="2"/>
    </row>
    <row r="10" spans="1:12" ht="15.75" customHeight="1">
      <c r="A10" s="3" t="s">
        <v>8</v>
      </c>
      <c r="B10" s="6" t="s">
        <v>68</v>
      </c>
      <c r="C10" s="48"/>
      <c r="D10" s="2"/>
      <c r="E10" s="2"/>
      <c r="F10" s="2"/>
      <c r="G10" s="2"/>
    </row>
    <row r="11" spans="1:12" ht="15.75" customHeight="1">
      <c r="A11" s="3" t="s">
        <v>9</v>
      </c>
      <c r="B11" s="6" t="s">
        <v>68</v>
      </c>
      <c r="C11" s="48"/>
      <c r="D11" s="2"/>
      <c r="E11" s="2"/>
      <c r="F11" s="2"/>
      <c r="G11" s="2"/>
    </row>
    <row r="12" spans="1:12" ht="15.75" customHeight="1">
      <c r="A12" s="3" t="s">
        <v>10</v>
      </c>
      <c r="B12" s="8" t="s">
        <v>11</v>
      </c>
      <c r="C12" s="47"/>
      <c r="D12" s="2"/>
      <c r="E12" s="2"/>
      <c r="F12" s="2"/>
      <c r="G12" s="2"/>
    </row>
    <row r="13" spans="1:12" ht="15.75" customHeight="1">
      <c r="A13" s="3" t="s">
        <v>12</v>
      </c>
      <c r="B13" s="8" t="s">
        <v>82</v>
      </c>
      <c r="C13" s="47"/>
      <c r="D13" s="2"/>
      <c r="E13" s="2"/>
      <c r="F13" s="2"/>
      <c r="G13" s="2"/>
    </row>
    <row r="14" spans="1:12" ht="15.75" customHeight="1">
      <c r="A14" s="3" t="s">
        <v>13</v>
      </c>
      <c r="B14" s="8" t="s">
        <v>11</v>
      </c>
      <c r="C14" s="47"/>
      <c r="D14" s="2"/>
      <c r="E14" s="2"/>
      <c r="F14" s="2"/>
      <c r="G14" s="2"/>
    </row>
    <row r="15" spans="1:12" ht="15.75" customHeight="1">
      <c r="A15" s="2"/>
      <c r="B15" s="2"/>
      <c r="C15" s="2"/>
      <c r="D15" s="2"/>
      <c r="E15" s="2"/>
      <c r="F15" s="2"/>
      <c r="G15" s="2"/>
    </row>
    <row r="16" spans="1:12" ht="15.75" customHeight="1">
      <c r="A16" s="9" t="s">
        <v>14</v>
      </c>
      <c r="B16" s="2"/>
      <c r="C16" s="2"/>
      <c r="D16" s="2"/>
      <c r="E16" s="2"/>
      <c r="F16" s="2"/>
      <c r="G16" s="2"/>
      <c r="I16" s="10"/>
      <c r="J16" s="53" t="s">
        <v>15</v>
      </c>
      <c r="K16" s="54"/>
      <c r="L16" s="54"/>
    </row>
    <row r="17" spans="1:12" ht="15.75" customHeight="1">
      <c r="A17" s="11" t="s">
        <v>16</v>
      </c>
      <c r="B17" s="12" t="s">
        <v>17</v>
      </c>
      <c r="C17" s="12" t="s">
        <v>70</v>
      </c>
      <c r="D17" s="13" t="s">
        <v>18</v>
      </c>
      <c r="E17" s="13" t="s">
        <v>19</v>
      </c>
      <c r="F17" s="12" t="s">
        <v>20</v>
      </c>
      <c r="G17" s="12" t="s">
        <v>21</v>
      </c>
      <c r="H17" s="12" t="s">
        <v>22</v>
      </c>
      <c r="I17" s="13" t="s">
        <v>23</v>
      </c>
      <c r="J17" s="13" t="s">
        <v>24</v>
      </c>
      <c r="K17" s="13" t="s">
        <v>25</v>
      </c>
      <c r="L17" s="13" t="s">
        <v>26</v>
      </c>
    </row>
    <row r="18" spans="1:12" ht="15.75" customHeight="1">
      <c r="A18" s="44" t="s">
        <v>83</v>
      </c>
      <c r="B18" s="42" t="s">
        <v>84</v>
      </c>
      <c r="C18" s="42" t="s">
        <v>84</v>
      </c>
      <c r="D18" s="43"/>
      <c r="E18" s="14"/>
      <c r="F18" s="43" t="s">
        <v>63</v>
      </c>
      <c r="G18" s="14">
        <v>1</v>
      </c>
      <c r="H18" s="15">
        <v>1</v>
      </c>
      <c r="I18" s="15"/>
      <c r="J18" s="15"/>
      <c r="K18" s="15"/>
      <c r="L18" s="15" t="s">
        <v>82</v>
      </c>
    </row>
    <row r="19" spans="1:12" ht="15.75" customHeight="1">
      <c r="A19" s="44" t="s">
        <v>91</v>
      </c>
      <c r="B19" s="42" t="s">
        <v>85</v>
      </c>
      <c r="C19" s="42" t="s">
        <v>84</v>
      </c>
      <c r="D19" s="43"/>
      <c r="E19" s="14"/>
      <c r="F19" s="14" t="s">
        <v>63</v>
      </c>
      <c r="G19" s="14">
        <v>1</v>
      </c>
      <c r="H19" s="15">
        <v>1</v>
      </c>
      <c r="I19" s="15"/>
      <c r="J19" s="15"/>
      <c r="K19" s="15"/>
      <c r="L19" s="15" t="s">
        <v>82</v>
      </c>
    </row>
    <row r="20" spans="1:12" ht="14.4">
      <c r="A20" s="2"/>
      <c r="B20" s="2"/>
      <c r="C20" s="2"/>
      <c r="D20" s="2"/>
      <c r="E20" s="2"/>
      <c r="F20" s="2"/>
      <c r="G20" s="2"/>
    </row>
    <row r="21" spans="1:12" ht="14.4">
      <c r="A21" s="9" t="s">
        <v>27</v>
      </c>
    </row>
    <row r="22" spans="1:12" ht="15.75" customHeight="1">
      <c r="A22" s="5" t="s">
        <v>28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15.75" customHeight="1">
      <c r="A23" s="41" t="s">
        <v>62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5" spans="1:12" ht="13.2"/>
    <row r="27" spans="1:12" ht="15.75" customHeight="1">
      <c r="A27" s="17"/>
    </row>
    <row r="34" spans="1:3" ht="13.2"/>
    <row r="36" spans="1:3" ht="15.75" customHeight="1">
      <c r="A36" s="17"/>
      <c r="B36" s="18"/>
      <c r="C36" s="18"/>
    </row>
  </sheetData>
  <mergeCells count="1">
    <mergeCell ref="J16:L16"/>
  </mergeCells>
  <phoneticPr fontId="21" type="noConversion"/>
  <dataValidations count="5">
    <dataValidation type="list" allowBlank="1" sqref="B6:C6" xr:uid="{00000000-0002-0000-0000-000000000000}">
      <formula1>"C-Phy,D-Phy"</formula1>
    </dataValidation>
    <dataValidation type="list" allowBlank="1" sqref="B10:C11" xr:uid="{00000000-0002-0000-0000-000001000000}">
      <formula1>"On,Off"</formula1>
    </dataValidation>
    <dataValidation type="list" allowBlank="1" sqref="B12:C14" xr:uid="{00000000-0002-0000-0000-000002000000}">
      <formula1>"Yes,No"</formula1>
    </dataValidation>
    <dataValidation type="list" allowBlank="1" sqref="B3:C3" xr:uid="{00000000-0002-0000-0000-000003000000}">
      <formula1>"MTK,Qualcomm"</formula1>
    </dataValidation>
    <dataValidation type="list" allowBlank="1" sqref="B7:C7" xr:uid="{00000000-0002-0000-0000-000004000000}">
      <formula1>"1,2,3,4"</formula1>
    </dataValidation>
  </dataValidations>
  <hyperlinks>
    <hyperlink ref="A18" r:id="rId1" xr:uid="{68DCB8E0-9CC8-4E3D-BBCC-C828C78E97F5}"/>
    <hyperlink ref="A19" r:id="rId2" xr:uid="{66D8D665-092F-4FD2-8219-F98127B0758D}"/>
  </hyperlink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2"/>
  <sheetViews>
    <sheetView tabSelected="1" topLeftCell="P1" workbookViewId="0">
      <selection activeCell="AA14" sqref="AA14"/>
    </sheetView>
  </sheetViews>
  <sheetFormatPr defaultColWidth="14.44140625" defaultRowHeight="15.75" customHeight="1"/>
  <cols>
    <col min="1" max="1" width="8.44140625" customWidth="1"/>
    <col min="2" max="2" width="10.5546875" customWidth="1"/>
    <col min="3" max="3" width="16.44140625" customWidth="1"/>
    <col min="4" max="4" width="14.33203125" customWidth="1"/>
    <col min="5" max="5" width="11" customWidth="1"/>
    <col min="6" max="7" width="12.109375" customWidth="1"/>
    <col min="8" max="8" width="12" customWidth="1"/>
    <col min="9" max="9" width="11" customWidth="1"/>
    <col min="10" max="10" width="16.6640625" customWidth="1"/>
    <col min="11" max="11" width="10.33203125" customWidth="1"/>
    <col min="12" max="12" width="9.88671875" customWidth="1"/>
    <col min="13" max="13" width="26.88671875" customWidth="1"/>
    <col min="14" max="14" width="23.88671875" customWidth="1"/>
    <col min="15" max="15" width="13.33203125" customWidth="1"/>
    <col min="17" max="17" width="12.6640625" customWidth="1"/>
    <col min="18" max="18" width="13.88671875" customWidth="1"/>
    <col min="24" max="24" width="9" customWidth="1"/>
    <col min="25" max="25" width="7.6640625" customWidth="1"/>
    <col min="26" max="26" width="7.5546875" customWidth="1"/>
    <col min="27" max="27" width="16" customWidth="1"/>
  </cols>
  <sheetData>
    <row r="1" spans="1:27" ht="15.6">
      <c r="A1" s="19" t="s">
        <v>86</v>
      </c>
      <c r="B1" s="19"/>
      <c r="C1" s="19"/>
      <c r="D1" s="19"/>
      <c r="E1" s="19"/>
      <c r="F1" s="19"/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3.2">
      <c r="A2" s="55" t="s">
        <v>67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 spans="1:27" ht="13.2">
      <c r="A3" s="56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27" ht="13.2">
      <c r="A4" s="5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 spans="1:27" ht="15.75" customHeight="1">
      <c r="A5" s="57" t="s">
        <v>71</v>
      </c>
      <c r="B5" s="57" t="s">
        <v>72</v>
      </c>
      <c r="C5" s="59" t="s">
        <v>29</v>
      </c>
      <c r="D5" s="60"/>
      <c r="E5" s="57" t="s">
        <v>30</v>
      </c>
      <c r="F5" s="21" t="s">
        <v>3</v>
      </c>
      <c r="G5" s="59" t="s">
        <v>31</v>
      </c>
      <c r="H5" s="61"/>
      <c r="I5" s="61"/>
      <c r="J5" s="61"/>
      <c r="K5" s="61"/>
      <c r="L5" s="60"/>
      <c r="M5" s="22" t="s">
        <v>32</v>
      </c>
      <c r="N5" s="22" t="s">
        <v>33</v>
      </c>
      <c r="O5" s="22" t="s">
        <v>34</v>
      </c>
      <c r="P5" s="22" t="s">
        <v>35</v>
      </c>
      <c r="Q5" s="22" t="s">
        <v>36</v>
      </c>
      <c r="R5" s="23" t="s">
        <v>37</v>
      </c>
      <c r="S5" s="23" t="s">
        <v>38</v>
      </c>
      <c r="T5" s="21" t="s">
        <v>39</v>
      </c>
      <c r="U5" s="21" t="s">
        <v>40</v>
      </c>
      <c r="V5" s="59" t="s">
        <v>41</v>
      </c>
      <c r="W5" s="60"/>
      <c r="X5" s="57" t="s">
        <v>42</v>
      </c>
      <c r="Y5" s="62" t="s">
        <v>8</v>
      </c>
      <c r="Z5" s="62" t="s">
        <v>9</v>
      </c>
      <c r="AA5" s="62" t="s">
        <v>43</v>
      </c>
    </row>
    <row r="6" spans="1:27" ht="15.75" customHeight="1">
      <c r="A6" s="58"/>
      <c r="B6" s="58"/>
      <c r="C6" s="21" t="s">
        <v>44</v>
      </c>
      <c r="D6" s="21" t="s">
        <v>45</v>
      </c>
      <c r="E6" s="58"/>
      <c r="F6" s="21" t="s">
        <v>46</v>
      </c>
      <c r="G6" s="21" t="s">
        <v>47</v>
      </c>
      <c r="H6" s="21" t="s">
        <v>48</v>
      </c>
      <c r="I6" s="21" t="s">
        <v>49</v>
      </c>
      <c r="J6" s="21" t="s">
        <v>50</v>
      </c>
      <c r="K6" s="21" t="s">
        <v>51</v>
      </c>
      <c r="L6" s="21" t="s">
        <v>52</v>
      </c>
      <c r="M6" s="24" t="s">
        <v>53</v>
      </c>
      <c r="N6" s="24" t="s">
        <v>54</v>
      </c>
      <c r="O6" s="24" t="s">
        <v>55</v>
      </c>
      <c r="P6" s="24" t="s">
        <v>56</v>
      </c>
      <c r="Q6" s="25" t="s">
        <v>57</v>
      </c>
      <c r="R6" s="25" t="s">
        <v>58</v>
      </c>
      <c r="S6" s="25" t="s">
        <v>58</v>
      </c>
      <c r="T6" s="26" t="s">
        <v>58</v>
      </c>
      <c r="U6" s="21"/>
      <c r="V6" s="21" t="s">
        <v>59</v>
      </c>
      <c r="W6" s="21" t="s">
        <v>60</v>
      </c>
      <c r="X6" s="58"/>
      <c r="Y6" s="58"/>
      <c r="Z6" s="58"/>
      <c r="AA6" s="63"/>
    </row>
    <row r="7" spans="1:27" ht="15.75" customHeight="1">
      <c r="A7" s="27">
        <v>1</v>
      </c>
      <c r="B7" s="28" t="s">
        <v>76</v>
      </c>
      <c r="C7" s="29">
        <v>3264</v>
      </c>
      <c r="D7" s="29">
        <v>2448</v>
      </c>
      <c r="E7" s="28">
        <f t="shared" ref="E7:E8" si="0">O7*1000000/HEX2DEC(M7)/HEX2DEC(N7)</f>
        <v>30.008002133902373</v>
      </c>
      <c r="F7" s="30">
        <v>24</v>
      </c>
      <c r="G7" s="31" t="s">
        <v>64</v>
      </c>
      <c r="H7" s="31" t="s">
        <v>87</v>
      </c>
      <c r="I7" s="31" t="s">
        <v>82</v>
      </c>
      <c r="J7" s="32">
        <v>1440</v>
      </c>
      <c r="K7" s="32" t="s">
        <v>73</v>
      </c>
      <c r="L7" s="32">
        <v>10</v>
      </c>
      <c r="M7" s="52" t="s">
        <v>88</v>
      </c>
      <c r="N7" s="52" t="s">
        <v>89</v>
      </c>
      <c r="O7" s="32">
        <v>36</v>
      </c>
      <c r="P7" s="32">
        <f t="shared" ref="P7:P8" si="1">HEX2DEC(M7)/O7</f>
        <v>12.777777777777779</v>
      </c>
      <c r="Q7" s="32">
        <f>P7*(HEX2DEC(N7)-D7)/1000</f>
        <v>2.0444444444444447</v>
      </c>
      <c r="R7" s="32">
        <v>4</v>
      </c>
      <c r="S7" s="32">
        <v>0.5</v>
      </c>
      <c r="T7" s="32" t="s">
        <v>90</v>
      </c>
      <c r="U7" s="33">
        <v>15.5</v>
      </c>
      <c r="V7" s="30">
        <v>1</v>
      </c>
      <c r="W7" s="30">
        <v>1</v>
      </c>
      <c r="X7" s="34" t="s">
        <v>74</v>
      </c>
      <c r="Y7" s="34" t="s">
        <v>75</v>
      </c>
      <c r="Z7" s="34" t="s">
        <v>75</v>
      </c>
      <c r="AA7" s="51" t="s">
        <v>92</v>
      </c>
    </row>
    <row r="8" spans="1:27" ht="15.75" customHeight="1">
      <c r="A8" s="35">
        <v>2</v>
      </c>
      <c r="B8" s="36" t="s">
        <v>77</v>
      </c>
      <c r="C8" s="37">
        <v>3264</v>
      </c>
      <c r="D8" s="37">
        <v>1836</v>
      </c>
      <c r="E8" s="28">
        <f t="shared" si="0"/>
        <v>30.008002133902373</v>
      </c>
      <c r="F8" s="30">
        <v>24</v>
      </c>
      <c r="G8" s="31" t="s">
        <v>64</v>
      </c>
      <c r="H8" s="31" t="s">
        <v>87</v>
      </c>
      <c r="I8" s="51" t="s">
        <v>82</v>
      </c>
      <c r="J8" s="32">
        <v>1440</v>
      </c>
      <c r="K8" s="32" t="s">
        <v>73</v>
      </c>
      <c r="L8" s="32">
        <v>10</v>
      </c>
      <c r="M8" s="52" t="s">
        <v>88</v>
      </c>
      <c r="N8" s="52" t="s">
        <v>89</v>
      </c>
      <c r="O8" s="38">
        <v>36</v>
      </c>
      <c r="P8" s="32">
        <f t="shared" si="1"/>
        <v>12.777777777777779</v>
      </c>
      <c r="Q8" s="32">
        <f t="shared" ref="Q8" si="2">P8*(HEX2DEC(N8)-D8)/1000</f>
        <v>9.8644444444444446</v>
      </c>
      <c r="R8" s="38">
        <v>4</v>
      </c>
      <c r="S8" s="38">
        <v>0.5</v>
      </c>
      <c r="T8" s="32" t="s">
        <v>90</v>
      </c>
      <c r="U8" s="39">
        <v>15.5</v>
      </c>
      <c r="V8" s="34">
        <v>1</v>
      </c>
      <c r="W8" s="34">
        <v>1</v>
      </c>
      <c r="X8" s="34" t="s">
        <v>74</v>
      </c>
      <c r="Y8" s="34" t="s">
        <v>75</v>
      </c>
      <c r="Z8" s="34" t="s">
        <v>75</v>
      </c>
      <c r="AA8" s="51" t="s">
        <v>92</v>
      </c>
    </row>
    <row r="10" spans="1:27" ht="13.2">
      <c r="A10" s="40" t="s">
        <v>61</v>
      </c>
    </row>
    <row r="12" spans="1:27" ht="15.75" customHeight="1">
      <c r="N12" s="50"/>
    </row>
  </sheetData>
  <mergeCells count="11">
    <mergeCell ref="A2:AA4"/>
    <mergeCell ref="A5:A6"/>
    <mergeCell ref="B5:B6"/>
    <mergeCell ref="C5:D5"/>
    <mergeCell ref="E5:E6"/>
    <mergeCell ref="G5:L5"/>
    <mergeCell ref="V5:W5"/>
    <mergeCell ref="X5:X6"/>
    <mergeCell ref="Y5:Y6"/>
    <mergeCell ref="Z5:Z6"/>
    <mergeCell ref="AA5:AA6"/>
  </mergeCells>
  <phoneticPr fontId="2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(Shixiao) Wang 王世孝</cp:lastModifiedBy>
  <dcterms:modified xsi:type="dcterms:W3CDTF">2024-05-16T07:52:38Z</dcterms:modified>
</cp:coreProperties>
</file>