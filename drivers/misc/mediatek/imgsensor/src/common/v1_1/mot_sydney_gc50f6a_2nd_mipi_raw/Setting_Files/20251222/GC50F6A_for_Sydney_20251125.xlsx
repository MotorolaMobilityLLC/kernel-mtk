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_Arrangement\2025\Moto_Sydney_MT6835_GC50F6&amp;GC32E1&amp;GC08A3&amp;GC02M1\GC50F6A\GC50F6A_Sydney_251125\"/>
    </mc:Choice>
  </mc:AlternateContent>
  <xr:revisionPtr revIDLastSave="0" documentId="13_ncr:1_{FC318D72-0321-4A19-B9F8-E81FAC19C9CD}" xr6:coauthVersionLast="47" xr6:coauthVersionMax="47" xr10:uidLastSave="{00000000-0000-0000-0000-000000000000}"/>
  <bookViews>
    <workbookView xWindow="51840" yWindow="165" windowWidth="23880" windowHeight="20295" xr2:uid="{00000000-000D-0000-FFFF-FFFF00000000}"/>
  </bookViews>
  <sheets>
    <sheet name="基础信息" sheetId="1" r:id="rId1"/>
    <sheet name="寄存器说明" sheetId="2" r:id="rId2"/>
    <sheet name="参数说明" sheetId="6" r:id="rId3"/>
  </sheets>
  <calcPr calcId="191029"/>
</workbook>
</file>

<file path=xl/calcChain.xml><?xml version="1.0" encoding="utf-8"?>
<calcChain xmlns="http://schemas.openxmlformats.org/spreadsheetml/2006/main">
  <c r="N5" i="6" l="1"/>
  <c r="H5" i="6"/>
  <c r="N6" i="6"/>
  <c r="H6" i="6"/>
  <c r="N4" i="6"/>
  <c r="N3" i="6" l="1"/>
  <c r="H3" i="6"/>
  <c r="N2" i="6"/>
  <c r="H2" i="6"/>
</calcChain>
</file>

<file path=xl/sharedStrings.xml><?xml version="1.0" encoding="utf-8"?>
<sst xmlns="http://schemas.openxmlformats.org/spreadsheetml/2006/main" count="161" uniqueCount="126">
  <si>
    <t>sensor_name</t>
  </si>
  <si>
    <t>sensor_id</t>
  </si>
  <si>
    <t>i2c_addr</t>
  </si>
  <si>
    <t>width</t>
  </si>
  <si>
    <t>height</t>
  </si>
  <si>
    <t>first_pixel</t>
  </si>
  <si>
    <t>Gr</t>
  </si>
  <si>
    <t>max_framelength</t>
  </si>
  <si>
    <t>max_gain</t>
  </si>
  <si>
    <t>base_gain</t>
  </si>
  <si>
    <t>0x400</t>
  </si>
  <si>
    <t>min_shutter</t>
  </si>
  <si>
    <t>margin</t>
  </si>
  <si>
    <t>otp_size</t>
  </si>
  <si>
    <t>otp_size_for_cus</t>
  </si>
  <si>
    <t>autocrop</t>
  </si>
  <si>
    <t>Exp，framelength，gain生效说明：</t>
  </si>
  <si>
    <t>exp，gain两帧生效。</t>
  </si>
  <si>
    <t>framelength可以由寄存器控制N+1帧生效或是N+2帧生效(0x0219[5] fl_2frame_mode 0:n+1 1:n+2)，默认参数是N+1帧生效。</t>
  </si>
  <si>
    <t>曝光及frame length说明：</t>
  </si>
  <si>
    <t xml:space="preserve">      当0x0219[4]=1时，frame length不可写，由曝光控制</t>
  </si>
  <si>
    <t>Name</t>
  </si>
  <si>
    <t>Addrress</t>
  </si>
  <si>
    <t>Default Value</t>
  </si>
  <si>
    <t>备注</t>
  </si>
  <si>
    <t>0x03f0/0x03f1</t>
  </si>
  <si>
    <t>framelength</t>
  </si>
  <si>
    <t>0x0340/0x0341</t>
  </si>
  <si>
    <t>linelength</t>
  </si>
  <si>
    <t>0x0342/0x0343</t>
  </si>
  <si>
    <t>shutter</t>
  </si>
  <si>
    <t>0x0202/0x0203</t>
  </si>
  <si>
    <t>gain</t>
  </si>
  <si>
    <t>stream</t>
  </si>
  <si>
    <t>0x0100</t>
  </si>
  <si>
    <t>crop_width</t>
  </si>
  <si>
    <t>0x034c/0x034d</t>
  </si>
  <si>
    <t>crop_height</t>
  </si>
  <si>
    <t>0x034e/0x034f</t>
  </si>
  <si>
    <t>mirror</t>
  </si>
  <si>
    <t>0x0101</t>
  </si>
  <si>
    <t>0x00</t>
  </si>
  <si>
    <t>注：1)为保证数字模块工作正常，0x0101位置不建议移动，且需注意global setting &amp; mode setting里均有配置，不能删除；</t>
  </si>
  <si>
    <t>luma_value</t>
  </si>
  <si>
    <t>-</t>
  </si>
  <si>
    <t>testpattern</t>
  </si>
  <si>
    <t>mipi_ctr</t>
  </si>
  <si>
    <t>clk_lp_mode</t>
  </si>
  <si>
    <t>0x0115</t>
  </si>
  <si>
    <t>binning_mode</t>
  </si>
  <si>
    <t>auto_crop</t>
  </si>
  <si>
    <t>framelength_control</t>
  </si>
  <si>
    <t>0x0219[4]</t>
  </si>
  <si>
    <t>min_VB</t>
  </si>
  <si>
    <t>frame counter</t>
  </si>
  <si>
    <t>frame drop</t>
  </si>
  <si>
    <t>fastend_en</t>
  </si>
  <si>
    <t>LP11 or LP00</t>
  </si>
  <si>
    <t>Mclk
(MHz)</t>
  </si>
  <si>
    <t>mode</t>
  </si>
  <si>
    <t>min framelength</t>
  </si>
  <si>
    <t>lane number</t>
  </si>
  <si>
    <t>raw10</t>
  </si>
  <si>
    <t>off</t>
    <phoneticPr fontId="1" type="noConversion"/>
  </si>
  <si>
    <t>max_mipiclk</t>
    <phoneticPr fontId="1" type="noConversion"/>
  </si>
  <si>
    <t>0x0204/0x0205</t>
    <phoneticPr fontId="1" type="noConversion"/>
  </si>
  <si>
    <t>0x400</t>
    <phoneticPr fontId="1" type="noConversion"/>
  </si>
  <si>
    <t>0x01（out_test_image）</t>
    <phoneticPr fontId="1" type="noConversion"/>
  </si>
  <si>
    <t>-</t>
    <phoneticPr fontId="1" type="noConversion"/>
  </si>
  <si>
    <t>0x0359</t>
    <phoneticPr fontId="1" type="noConversion"/>
  </si>
  <si>
    <t>0x0084</t>
    <phoneticPr fontId="1" type="noConversion"/>
  </si>
  <si>
    <t>0x01（默认丢1帧）</t>
    <phoneticPr fontId="1" type="noConversion"/>
  </si>
  <si>
    <t>-</t>
    <phoneticPr fontId="13" type="noConversion"/>
  </si>
  <si>
    <t>0x035d</t>
    <phoneticPr fontId="1" type="noConversion"/>
  </si>
  <si>
    <t>0x096a</t>
    <phoneticPr fontId="13" type="noConversion"/>
  </si>
  <si>
    <t>0x77</t>
    <phoneticPr fontId="13" type="noConversion"/>
  </si>
  <si>
    <t>0x20</t>
    <phoneticPr fontId="13" type="noConversion"/>
  </si>
  <si>
    <t>0x0182[1:0]</t>
    <phoneticPr fontId="1" type="noConversion"/>
  </si>
  <si>
    <t>mipi_diff（mipi_vh&amp;mipi_vl）</t>
    <phoneticPr fontId="13" type="noConversion"/>
  </si>
  <si>
    <t>0x0266[0]</t>
    <phoneticPr fontId="13" type="noConversion"/>
  </si>
  <si>
    <t>0x03</t>
    <phoneticPr fontId="13" type="noConversion"/>
  </si>
  <si>
    <t>-</t>
    <phoneticPr fontId="13" type="noConversion"/>
  </si>
  <si>
    <t>不能独立调整，可动mipi_vh和mipi_vl，但同时会动到幅值</t>
    <phoneticPr fontId="13" type="noConversion"/>
  </si>
  <si>
    <t>默认给一个output，详细部分见application note</t>
    <phoneticPr fontId="13" type="noConversion"/>
  </si>
  <si>
    <t>0x0226/0x0227</t>
    <phoneticPr fontId="13" type="noConversion"/>
  </si>
  <si>
    <t>4:3</t>
  </si>
  <si>
    <t>0x50f6</t>
    <phoneticPr fontId="13" type="noConversion"/>
  </si>
  <si>
    <t>0x1000</t>
    <phoneticPr fontId="13" type="noConversion"/>
  </si>
  <si>
    <t>0xc00</t>
    <phoneticPr fontId="13" type="noConversion"/>
  </si>
  <si>
    <t>0x01e9</t>
    <phoneticPr fontId="13" type="noConversion"/>
  </si>
  <si>
    <t>0x0cfc</t>
    <phoneticPr fontId="13" type="noConversion"/>
  </si>
  <si>
    <t>0x03e0</t>
    <phoneticPr fontId="13" type="noConversion"/>
  </si>
  <si>
    <t>GC50F6</t>
    <phoneticPr fontId="1" type="noConversion"/>
  </si>
  <si>
    <t>0x50f6</t>
    <phoneticPr fontId="1" type="noConversion"/>
  </si>
  <si>
    <t>0x94,0x20</t>
    <phoneticPr fontId="1" type="noConversion"/>
  </si>
  <si>
    <t>4k</t>
    <phoneticPr fontId="1" type="noConversion"/>
  </si>
  <si>
    <t>D PHY 2.5Gbps</t>
    <phoneticPr fontId="1" type="noConversion"/>
  </si>
  <si>
    <t>N</t>
  </si>
  <si>
    <t>Y</t>
  </si>
  <si>
    <t>out</t>
  </si>
  <si>
    <t>ratio</t>
  </si>
  <si>
    <t>image width</t>
  </si>
  <si>
    <t>image height</t>
  </si>
  <si>
    <t>max frame rate
(fps)</t>
  </si>
  <si>
    <t>phy clk
(Mbps)</t>
  </si>
  <si>
    <t>line length</t>
  </si>
  <si>
    <t>row time
(μs)</t>
  </si>
  <si>
    <t>PD typeII
support</t>
  </si>
  <si>
    <t>PD width</t>
  </si>
  <si>
    <t>PD height</t>
  </si>
  <si>
    <t>PD 位宽</t>
  </si>
  <si>
    <t>PD VC</t>
  </si>
  <si>
    <t>PD Order</t>
  </si>
  <si>
    <t>\</t>
  </si>
  <si>
    <t>R-L</t>
  </si>
  <si>
    <t>0x01/0x80</t>
    <phoneticPr fontId="1" type="noConversion"/>
  </si>
  <si>
    <t>PD DT</t>
  </si>
  <si>
    <r>
      <t>1、当0x0219[4]=0时，frame length（0x034/0x0341）和exp time（0x0202/0x0203）分别可写，注意exp设置不可超过framelength设置，否则曝光会被framelength限制；建议frame length和exp的margin设置为</t>
    </r>
    <r>
      <rPr>
        <b/>
        <sz val="11"/>
        <color rgb="FFFF0000"/>
        <rFont val="微软雅黑"/>
        <family val="2"/>
        <charset val="134"/>
      </rPr>
      <t>16</t>
    </r>
    <r>
      <rPr>
        <sz val="11"/>
        <color rgb="FF000000"/>
        <rFont val="微软雅黑"/>
        <family val="2"/>
        <charset val="134"/>
      </rPr>
      <t>。</t>
    </r>
    <phoneticPr fontId="1" type="noConversion"/>
  </si>
  <si>
    <t>pclk
(MHz)</t>
  </si>
  <si>
    <t>4096x3072 30fps</t>
    <phoneticPr fontId="1" type="noConversion"/>
  </si>
  <si>
    <t>No.</t>
    <phoneticPr fontId="1" type="noConversion"/>
  </si>
  <si>
    <t>0xffff</t>
    <phoneticPr fontId="1" type="noConversion"/>
  </si>
  <si>
    <t>2048x1536 30fps</t>
    <phoneticPr fontId="1" type="noConversion"/>
  </si>
  <si>
    <t>2048x1152 120fps</t>
    <phoneticPr fontId="1" type="noConversion"/>
  </si>
  <si>
    <t>4096x2304 30fps</t>
    <phoneticPr fontId="1" type="noConversion"/>
  </si>
  <si>
    <t>2048x1152 60fps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</si>
</sst>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_);[Red]\(0.000\)"/>
    <numFmt numFmtId="178" formatCode="0.00_);[Red]\(0.00\)"/>
  </numFmts>
  <fonts count="20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Microsoft YaHei Light"/>
      <family val="2"/>
      <charset val="134"/>
    </font>
    <font>
      <b/>
      <sz val="11"/>
      <color rgb="FF000000"/>
      <name val="Microsoft YaHei Light"/>
      <family val="2"/>
      <charset val="134"/>
    </font>
    <font>
      <b/>
      <sz val="11"/>
      <color rgb="FFFFFFFF"/>
      <name val="Microsoft YaHei Light"/>
      <family val="2"/>
      <charset val="134"/>
    </font>
    <font>
      <sz val="11"/>
      <color rgb="FFFFFFFF"/>
      <name val="Microsoft YaHei Light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宋体"/>
      <family val="3"/>
      <charset val="134"/>
    </font>
    <font>
      <sz val="10"/>
      <color rgb="FF000000"/>
      <name val="微软雅黑"/>
      <family val="2"/>
      <charset val="134"/>
    </font>
    <font>
      <b/>
      <sz val="11"/>
      <color rgb="FFFE0300"/>
      <name val="Microsoft YaHei Light"/>
      <family val="2"/>
      <charset val="134"/>
    </font>
    <font>
      <sz val="11"/>
      <color rgb="FFFE0300"/>
      <name val="Microsoft YaHei Light"/>
      <family val="2"/>
      <charset val="134"/>
    </font>
    <font>
      <sz val="9"/>
      <name val="宋体"/>
      <family val="3"/>
      <charset val="134"/>
      <scheme val="minor"/>
    </font>
    <font>
      <b/>
      <sz val="11"/>
      <color rgb="FFFF0000"/>
      <name val="Microsoft YaHei Light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rgb="FFFF0000"/>
      <name val="Microsoft YaHei Light"/>
      <family val="2"/>
      <charset val="134"/>
    </font>
    <font>
      <sz val="12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6D9F1"/>
      </patternFill>
    </fill>
    <fill>
      <patternFill patternType="solid">
        <fgColor rgb="FF92D04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8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7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/>
    <xf numFmtId="0" fontId="5" fillId="0" borderId="0" xfId="0" applyFont="1">
      <alignment vertical="center"/>
    </xf>
    <xf numFmtId="0" fontId="5" fillId="0" borderId="0" xfId="0" applyFont="1" applyAlignment="1"/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0" borderId="0" xfId="0" applyFont="1" applyAlignment="1"/>
    <xf numFmtId="0" fontId="3" fillId="0" borderId="0" xfId="0" applyFont="1" applyAlignment="1"/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 applyAlignment="1"/>
    <xf numFmtId="0" fontId="14" fillId="0" borderId="0" xfId="0" applyFo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/>
    <xf numFmtId="11" fontId="4" fillId="0" borderId="0" xfId="0" applyNumberFormat="1" applyFont="1" applyAlignment="1"/>
    <xf numFmtId="177" fontId="0" fillId="0" borderId="0" xfId="0" applyNumberFormat="1">
      <alignment vertical="center"/>
    </xf>
    <xf numFmtId="0" fontId="3" fillId="4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49" fontId="10" fillId="3" borderId="2" xfId="0" applyNumberFormat="1" applyFont="1" applyFill="1" applyBorder="1" applyAlignment="1">
      <alignment horizontal="center" vertical="center"/>
    </xf>
    <xf numFmtId="176" fontId="10" fillId="3" borderId="2" xfId="0" applyNumberFormat="1" applyFont="1" applyFill="1" applyBorder="1" applyAlignment="1">
      <alignment horizontal="center" vertical="center" wrapText="1"/>
    </xf>
    <xf numFmtId="177" fontId="10" fillId="3" borderId="2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178" fontId="3" fillId="4" borderId="2" xfId="0" applyNumberFormat="1" applyFont="1" applyFill="1" applyBorder="1" applyAlignment="1">
      <alignment horizontal="center" vertical="center"/>
    </xf>
    <xf numFmtId="177" fontId="3" fillId="4" borderId="2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>
      <alignment vertical="center"/>
    </xf>
  </cellXfs>
  <cellStyles count="9">
    <cellStyle name="常规" xfId="0" builtinId="0"/>
    <cellStyle name="常规 10 2" xfId="2" xr:uid="{00000000-0005-0000-0000-000001000000}"/>
    <cellStyle name="常规 2" xfId="3" xr:uid="{00000000-0005-0000-0000-000002000000}"/>
    <cellStyle name="常规 2 2 2 2" xfId="4" xr:uid="{00000000-0005-0000-0000-000003000000}"/>
    <cellStyle name="常规 3" xfId="8" xr:uid="{00000000-0005-0000-0000-000004000000}"/>
    <cellStyle name="常规 3 4" xfId="5" xr:uid="{00000000-0005-0000-0000-000005000000}"/>
    <cellStyle name="常规 3 4 3" xfId="6" xr:uid="{00000000-0005-0000-0000-000006000000}"/>
    <cellStyle name="常规 4" xfId="1" xr:uid="{00000000-0005-0000-0000-000007000000}"/>
    <cellStyle name="常规 7 2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24"/>
  <sheetViews>
    <sheetView tabSelected="1" workbookViewId="0">
      <selection activeCell="G27" sqref="G27"/>
    </sheetView>
  </sheetViews>
  <sheetFormatPr defaultColWidth="8.85546875" defaultRowHeight="19.2" customHeight="1"/>
  <cols>
    <col min="1" max="1" width="24.85546875" style="6" customWidth="1"/>
    <col min="2" max="2" width="18.2109375" style="4" customWidth="1"/>
    <col min="3" max="40" width="8.85546875" style="4"/>
  </cols>
  <sheetData>
    <row r="1" spans="1:9" ht="19.2" customHeight="1">
      <c r="A1" s="5" t="s">
        <v>0</v>
      </c>
      <c r="B1" s="2" t="s">
        <v>92</v>
      </c>
      <c r="C1" s="3"/>
      <c r="D1" s="3"/>
      <c r="E1" s="3"/>
      <c r="F1" s="3"/>
      <c r="G1" s="3"/>
      <c r="H1" s="3"/>
    </row>
    <row r="2" spans="1:9" ht="19.2" customHeight="1">
      <c r="A2" s="5" t="s">
        <v>1</v>
      </c>
      <c r="B2" s="2" t="s">
        <v>93</v>
      </c>
      <c r="C2" s="3"/>
      <c r="D2" s="3"/>
      <c r="E2" s="3"/>
      <c r="F2" s="3"/>
      <c r="G2" s="3"/>
      <c r="H2" s="3"/>
      <c r="I2" s="3"/>
    </row>
    <row r="3" spans="1:9" ht="19.2" customHeight="1">
      <c r="A3" s="5" t="s">
        <v>2</v>
      </c>
      <c r="B3" s="2" t="s">
        <v>94</v>
      </c>
      <c r="C3" s="3"/>
      <c r="D3" s="3"/>
      <c r="E3" s="3"/>
      <c r="F3" s="3"/>
      <c r="G3" s="3"/>
      <c r="H3" s="3"/>
      <c r="I3" s="3"/>
    </row>
    <row r="4" spans="1:9" ht="19.2" customHeight="1">
      <c r="A4" s="5" t="s">
        <v>3</v>
      </c>
      <c r="B4" s="2">
        <v>4096</v>
      </c>
      <c r="C4" s="3"/>
      <c r="D4" s="3"/>
      <c r="E4" s="3"/>
      <c r="F4" s="3"/>
      <c r="G4" s="3"/>
      <c r="H4" s="3"/>
      <c r="I4" s="3"/>
    </row>
    <row r="5" spans="1:9" ht="19.2" customHeight="1">
      <c r="A5" s="5" t="s">
        <v>4</v>
      </c>
      <c r="B5" s="2">
        <v>3072</v>
      </c>
      <c r="C5" s="3"/>
      <c r="D5" s="3"/>
      <c r="E5" s="3"/>
      <c r="F5" s="3"/>
      <c r="G5" s="3"/>
      <c r="H5" s="3"/>
      <c r="I5" s="3"/>
    </row>
    <row r="6" spans="1:9" ht="19.2" customHeight="1">
      <c r="A6" s="5" t="s">
        <v>5</v>
      </c>
      <c r="B6" s="2" t="s">
        <v>6</v>
      </c>
      <c r="C6" s="3"/>
      <c r="D6" s="3"/>
      <c r="E6" s="3"/>
      <c r="F6" s="3"/>
      <c r="G6" s="3"/>
      <c r="H6" s="3"/>
      <c r="I6" s="3"/>
    </row>
    <row r="7" spans="1:9" ht="19.2" customHeight="1">
      <c r="A7" s="14" t="s">
        <v>64</v>
      </c>
      <c r="B7" s="15" t="s">
        <v>96</v>
      </c>
      <c r="C7" s="3"/>
      <c r="D7" s="3"/>
      <c r="E7" s="3"/>
      <c r="F7" s="3"/>
      <c r="G7" s="3"/>
      <c r="H7" s="3"/>
      <c r="I7" s="3"/>
    </row>
    <row r="8" spans="1:9" ht="19.2" customHeight="1">
      <c r="A8" s="14" t="s">
        <v>7</v>
      </c>
      <c r="B8" s="2" t="s">
        <v>121</v>
      </c>
      <c r="C8" s="3"/>
      <c r="D8" s="3"/>
      <c r="E8" s="3"/>
      <c r="F8" s="3"/>
      <c r="G8" s="3"/>
      <c r="H8" s="3"/>
      <c r="I8" s="3"/>
    </row>
    <row r="9" spans="1:9" ht="19.2" customHeight="1">
      <c r="A9" s="5" t="s">
        <v>8</v>
      </c>
      <c r="B9" s="2">
        <v>32</v>
      </c>
    </row>
    <row r="10" spans="1:9" ht="19.2" customHeight="1">
      <c r="A10" s="5" t="s">
        <v>9</v>
      </c>
      <c r="B10" s="2" t="s">
        <v>10</v>
      </c>
    </row>
    <row r="11" spans="1:9" ht="19.2" customHeight="1">
      <c r="A11" s="14" t="s">
        <v>11</v>
      </c>
      <c r="B11" s="15">
        <v>1</v>
      </c>
      <c r="C11" s="16"/>
    </row>
    <row r="12" spans="1:9" ht="19.2" customHeight="1">
      <c r="A12" s="5" t="s">
        <v>12</v>
      </c>
      <c r="B12" s="2">
        <v>16</v>
      </c>
    </row>
    <row r="13" spans="1:9" ht="19.2" customHeight="1">
      <c r="A13" s="5" t="s">
        <v>13</v>
      </c>
      <c r="B13" s="2" t="s">
        <v>95</v>
      </c>
    </row>
    <row r="14" spans="1:9" ht="19.2" customHeight="1">
      <c r="A14" s="5" t="s">
        <v>14</v>
      </c>
      <c r="B14" s="2">
        <v>0</v>
      </c>
    </row>
    <row r="15" spans="1:9" ht="19.2" customHeight="1">
      <c r="A15" s="5" t="s">
        <v>15</v>
      </c>
      <c r="B15" s="2" t="s">
        <v>63</v>
      </c>
    </row>
    <row r="18" spans="1:10" ht="19.2" customHeight="1">
      <c r="A18" s="9" t="s">
        <v>16</v>
      </c>
      <c r="B18" s="10"/>
      <c r="C18" s="10"/>
      <c r="D18" s="10"/>
      <c r="E18" s="10"/>
      <c r="F18" s="10"/>
      <c r="G18" s="11"/>
      <c r="H18" s="11"/>
      <c r="I18" s="11"/>
      <c r="J18" s="11"/>
    </row>
    <row r="19" spans="1:10" ht="19.2" customHeight="1">
      <c r="A19" s="10" t="s">
        <v>17</v>
      </c>
      <c r="B19" s="10"/>
      <c r="C19" s="10"/>
      <c r="D19" s="10"/>
      <c r="E19" s="10"/>
      <c r="F19" s="10"/>
      <c r="G19" s="11"/>
      <c r="H19" s="11"/>
      <c r="I19" s="11"/>
      <c r="J19" s="11"/>
    </row>
    <row r="20" spans="1:10" ht="19.2" customHeight="1">
      <c r="A20" s="10" t="s">
        <v>18</v>
      </c>
      <c r="B20" s="10"/>
      <c r="C20" s="10"/>
      <c r="D20" s="10"/>
      <c r="E20" s="10"/>
      <c r="F20" s="10"/>
      <c r="G20" s="11"/>
      <c r="H20" s="11"/>
      <c r="I20" s="11"/>
      <c r="J20" s="11"/>
    </row>
    <row r="22" spans="1:10" ht="19.2" customHeight="1">
      <c r="A22" s="9" t="s">
        <v>19</v>
      </c>
      <c r="B22" s="10"/>
    </row>
    <row r="23" spans="1:10" ht="19.2" customHeight="1">
      <c r="A23" s="10" t="s">
        <v>117</v>
      </c>
      <c r="B23" s="10"/>
    </row>
    <row r="24" spans="1:10" ht="19.2" customHeight="1">
      <c r="A24" s="10" t="s">
        <v>20</v>
      </c>
      <c r="B24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34"/>
  <sheetViews>
    <sheetView workbookViewId="0">
      <selection activeCell="A33" sqref="A33"/>
    </sheetView>
  </sheetViews>
  <sheetFormatPr defaultColWidth="8.85546875" defaultRowHeight="16.5" customHeight="1"/>
  <cols>
    <col min="1" max="1" width="28" style="6" customWidth="1"/>
    <col min="2" max="3" width="25.2109375" style="4" customWidth="1"/>
    <col min="4" max="4" width="122.5" style="4" customWidth="1"/>
    <col min="5" max="40" width="8.85546875" style="4"/>
  </cols>
  <sheetData>
    <row r="1" spans="1:4" ht="16.5" customHeight="1">
      <c r="A1" s="7" t="s">
        <v>21</v>
      </c>
      <c r="B1" s="7" t="s">
        <v>22</v>
      </c>
      <c r="C1" s="7" t="s">
        <v>23</v>
      </c>
      <c r="D1" s="8" t="s">
        <v>24</v>
      </c>
    </row>
    <row r="2" spans="1:4" ht="16.5" customHeight="1">
      <c r="A2" s="5" t="s">
        <v>1</v>
      </c>
      <c r="B2" s="2" t="s">
        <v>25</v>
      </c>
      <c r="C2" s="2" t="s">
        <v>86</v>
      </c>
    </row>
    <row r="3" spans="1:4" ht="16.5" customHeight="1">
      <c r="A3" s="5" t="s">
        <v>26</v>
      </c>
      <c r="B3" s="2" t="s">
        <v>27</v>
      </c>
      <c r="C3" s="2" t="s">
        <v>90</v>
      </c>
    </row>
    <row r="4" spans="1:4" ht="16.5" customHeight="1">
      <c r="A4" s="5" t="s">
        <v>28</v>
      </c>
      <c r="B4" s="2" t="s">
        <v>29</v>
      </c>
      <c r="C4" s="2" t="s">
        <v>91</v>
      </c>
      <c r="D4" s="17">
        <v>3</v>
      </c>
    </row>
    <row r="5" spans="1:4" ht="16.5" customHeight="1">
      <c r="A5" s="5" t="s">
        <v>30</v>
      </c>
      <c r="B5" s="2" t="s">
        <v>31</v>
      </c>
      <c r="C5" s="2" t="s">
        <v>89</v>
      </c>
    </row>
    <row r="6" spans="1:4" ht="16.5" customHeight="1">
      <c r="A6" s="5" t="s">
        <v>32</v>
      </c>
      <c r="B6" s="2" t="s">
        <v>65</v>
      </c>
      <c r="C6" s="2" t="s">
        <v>66</v>
      </c>
    </row>
    <row r="7" spans="1:4" ht="16.5" customHeight="1">
      <c r="A7" s="5" t="s">
        <v>33</v>
      </c>
      <c r="B7" s="2" t="s">
        <v>34</v>
      </c>
      <c r="C7" s="2" t="s">
        <v>115</v>
      </c>
    </row>
    <row r="8" spans="1:4" ht="16.5" customHeight="1">
      <c r="A8" s="5" t="s">
        <v>35</v>
      </c>
      <c r="B8" s="2" t="s">
        <v>36</v>
      </c>
      <c r="C8" s="2" t="s">
        <v>87</v>
      </c>
    </row>
    <row r="9" spans="1:4" ht="16.5" customHeight="1">
      <c r="A9" s="5" t="s">
        <v>37</v>
      </c>
      <c r="B9" s="2" t="s">
        <v>38</v>
      </c>
      <c r="C9" s="2" t="s">
        <v>88</v>
      </c>
    </row>
    <row r="10" spans="1:4" ht="16.5" customHeight="1">
      <c r="A10" s="5" t="s">
        <v>39</v>
      </c>
      <c r="B10" s="2" t="s">
        <v>40</v>
      </c>
      <c r="C10" s="2" t="s">
        <v>41</v>
      </c>
      <c r="D10" s="4" t="s">
        <v>42</v>
      </c>
    </row>
    <row r="11" spans="1:4" ht="16.5" customHeight="1">
      <c r="A11" s="5" t="s">
        <v>43</v>
      </c>
      <c r="B11" s="2" t="s">
        <v>44</v>
      </c>
      <c r="C11" s="2" t="s">
        <v>44</v>
      </c>
    </row>
    <row r="12" spans="1:4" ht="16.5" customHeight="1">
      <c r="A12" s="12" t="s">
        <v>45</v>
      </c>
      <c r="B12" s="2" t="s">
        <v>73</v>
      </c>
      <c r="C12" s="2" t="s">
        <v>67</v>
      </c>
      <c r="D12" s="13" t="s">
        <v>83</v>
      </c>
    </row>
    <row r="13" spans="1:4" ht="16.5" customHeight="1">
      <c r="A13" s="5" t="s">
        <v>78</v>
      </c>
      <c r="B13" s="2" t="s">
        <v>74</v>
      </c>
      <c r="C13" s="2" t="s">
        <v>75</v>
      </c>
    </row>
    <row r="14" spans="1:4" ht="16.5" customHeight="1">
      <c r="A14" s="12" t="s">
        <v>46</v>
      </c>
      <c r="B14" s="30" t="s">
        <v>82</v>
      </c>
      <c r="C14" s="31"/>
      <c r="D14" s="13"/>
    </row>
    <row r="15" spans="1:4" ht="16.5" customHeight="1">
      <c r="A15" s="5" t="s">
        <v>47</v>
      </c>
      <c r="B15" s="2" t="s">
        <v>77</v>
      </c>
      <c r="C15" s="2" t="s">
        <v>76</v>
      </c>
    </row>
    <row r="16" spans="1:4" ht="16.5" customHeight="1">
      <c r="A16" s="5" t="s">
        <v>49</v>
      </c>
      <c r="B16" s="2" t="s">
        <v>68</v>
      </c>
      <c r="C16" s="2" t="s">
        <v>68</v>
      </c>
    </row>
    <row r="17" spans="1:4" ht="16.5" customHeight="1">
      <c r="A17" s="5" t="s">
        <v>50</v>
      </c>
      <c r="B17" s="2" t="s">
        <v>69</v>
      </c>
      <c r="C17" s="2" t="s">
        <v>63</v>
      </c>
    </row>
    <row r="18" spans="1:4" ht="16.5" customHeight="1">
      <c r="A18" s="5" t="s">
        <v>51</v>
      </c>
      <c r="B18" s="2" t="s">
        <v>52</v>
      </c>
      <c r="C18" s="2"/>
    </row>
    <row r="19" spans="1:4" ht="16.5" customHeight="1">
      <c r="A19" s="5" t="s">
        <v>53</v>
      </c>
      <c r="B19" s="2" t="s">
        <v>84</v>
      </c>
      <c r="C19" s="2" t="s">
        <v>81</v>
      </c>
    </row>
    <row r="20" spans="1:4" ht="16.5" customHeight="1">
      <c r="A20" s="5" t="s">
        <v>54</v>
      </c>
      <c r="B20" s="2" t="s">
        <v>48</v>
      </c>
      <c r="C20" s="2" t="s">
        <v>72</v>
      </c>
    </row>
    <row r="21" spans="1:4" ht="16.5" customHeight="1">
      <c r="A21" s="5" t="s">
        <v>55</v>
      </c>
      <c r="B21" s="2" t="s">
        <v>70</v>
      </c>
      <c r="C21" s="2" t="s">
        <v>71</v>
      </c>
    </row>
    <row r="22" spans="1:4" ht="16.5" customHeight="1">
      <c r="A22" s="5" t="s">
        <v>56</v>
      </c>
      <c r="B22" s="2" t="s">
        <v>79</v>
      </c>
      <c r="C22" s="2" t="s">
        <v>80</v>
      </c>
      <c r="D22" s="4" t="s">
        <v>57</v>
      </c>
    </row>
    <row r="23" spans="1:4" ht="16.5" customHeight="1">
      <c r="A23" s="5"/>
      <c r="B23" s="2"/>
      <c r="C23" s="2"/>
      <c r="D23" s="1"/>
    </row>
    <row r="24" spans="1:4" ht="16.5" customHeight="1">
      <c r="A24" s="5"/>
      <c r="B24" s="2"/>
      <c r="C24" s="2"/>
    </row>
    <row r="25" spans="1:4" ht="16.5" customHeight="1">
      <c r="A25" s="5"/>
      <c r="B25" s="2"/>
      <c r="C25" s="2"/>
    </row>
    <row r="26" spans="1:4" ht="16.5" customHeight="1">
      <c r="A26" s="5"/>
      <c r="B26" s="2"/>
      <c r="C26" s="2"/>
    </row>
    <row r="27" spans="1:4" ht="16.5" customHeight="1">
      <c r="A27" s="5"/>
      <c r="B27" s="2"/>
      <c r="C27" s="2"/>
    </row>
    <row r="28" spans="1:4" ht="16.5" customHeight="1">
      <c r="A28" s="5"/>
      <c r="B28" s="2"/>
      <c r="C28" s="2"/>
    </row>
    <row r="29" spans="1:4" ht="16.5" customHeight="1">
      <c r="A29" s="5"/>
      <c r="B29" s="2"/>
      <c r="C29" s="2"/>
    </row>
    <row r="30" spans="1:4" ht="16.5" customHeight="1">
      <c r="A30" s="5"/>
      <c r="B30" s="2"/>
      <c r="C30" s="2"/>
    </row>
    <row r="31" spans="1:4" ht="16.5" customHeight="1">
      <c r="A31" s="5"/>
      <c r="B31" s="2"/>
      <c r="C31" s="2"/>
    </row>
    <row r="32" spans="1:4" ht="16.5" customHeight="1">
      <c r="A32" s="5"/>
      <c r="B32" s="2"/>
      <c r="C32" s="2"/>
    </row>
    <row r="33" spans="1:3" ht="16.5" customHeight="1">
      <c r="A33" s="5"/>
      <c r="B33" s="2"/>
      <c r="C33" s="2"/>
    </row>
    <row r="34" spans="1:3" ht="16.5" customHeight="1">
      <c r="A34" s="5"/>
      <c r="B34" s="2"/>
      <c r="C34" s="2"/>
    </row>
  </sheetData>
  <mergeCells count="1">
    <mergeCell ref="B14:C14"/>
  </mergeCells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"/>
  <sheetViews>
    <sheetView topLeftCell="D1" workbookViewId="0">
      <selection activeCell="M5" sqref="M5"/>
    </sheetView>
  </sheetViews>
  <sheetFormatPr defaultRowHeight="15"/>
  <cols>
    <col min="4" max="4" width="31.85546875" customWidth="1"/>
    <col min="11" max="11" width="9.140625" customWidth="1"/>
    <col min="13" max="13" width="12" customWidth="1"/>
    <col min="14" max="14" width="9" style="18"/>
  </cols>
  <sheetData>
    <row r="1" spans="1:21" ht="41.15">
      <c r="A1" s="20" t="s">
        <v>120</v>
      </c>
      <c r="B1" s="20" t="s">
        <v>58</v>
      </c>
      <c r="C1" s="21" t="s">
        <v>99</v>
      </c>
      <c r="D1" s="21" t="s">
        <v>59</v>
      </c>
      <c r="E1" s="22" t="s">
        <v>100</v>
      </c>
      <c r="F1" s="20" t="s">
        <v>101</v>
      </c>
      <c r="G1" s="20" t="s">
        <v>102</v>
      </c>
      <c r="H1" s="23" t="s">
        <v>103</v>
      </c>
      <c r="I1" s="20" t="s">
        <v>61</v>
      </c>
      <c r="J1" s="20" t="s">
        <v>104</v>
      </c>
      <c r="K1" s="20" t="s">
        <v>118</v>
      </c>
      <c r="L1" s="20" t="s">
        <v>105</v>
      </c>
      <c r="M1" s="20" t="s">
        <v>60</v>
      </c>
      <c r="N1" s="24" t="s">
        <v>106</v>
      </c>
      <c r="O1" s="20" t="s">
        <v>107</v>
      </c>
      <c r="P1" s="20" t="s">
        <v>108</v>
      </c>
      <c r="Q1" s="20" t="s">
        <v>109</v>
      </c>
      <c r="R1" s="20" t="s">
        <v>110</v>
      </c>
      <c r="S1" s="20" t="s">
        <v>111</v>
      </c>
      <c r="T1" s="20" t="s">
        <v>116</v>
      </c>
      <c r="U1" s="20" t="s">
        <v>112</v>
      </c>
    </row>
    <row r="2" spans="1:21" ht="16.3">
      <c r="A2" s="25">
        <v>0</v>
      </c>
      <c r="B2" s="19">
        <v>24</v>
      </c>
      <c r="C2" s="19" t="s">
        <v>62</v>
      </c>
      <c r="D2" s="19" t="s">
        <v>119</v>
      </c>
      <c r="E2" s="26" t="s">
        <v>85</v>
      </c>
      <c r="F2" s="19">
        <v>4096</v>
      </c>
      <c r="G2" s="27">
        <v>3072</v>
      </c>
      <c r="H2" s="28">
        <f t="shared" ref="H2:H5" si="0">K2/L2/M2*10^6</f>
        <v>30.023582159077673</v>
      </c>
      <c r="I2" s="19">
        <v>4</v>
      </c>
      <c r="J2" s="19">
        <v>1344</v>
      </c>
      <c r="K2" s="19">
        <v>495</v>
      </c>
      <c r="L2" s="19">
        <v>4960</v>
      </c>
      <c r="M2" s="19">
        <v>3324</v>
      </c>
      <c r="N2" s="29">
        <f t="shared" ref="N2:N6" si="1">L2/K2</f>
        <v>10.020202020202021</v>
      </c>
      <c r="O2" s="19" t="s">
        <v>98</v>
      </c>
      <c r="P2" s="19">
        <v>512</v>
      </c>
      <c r="Q2" s="19">
        <v>1528</v>
      </c>
      <c r="R2" s="19">
        <v>10</v>
      </c>
      <c r="S2" s="19">
        <v>3</v>
      </c>
      <c r="T2" s="19" t="s">
        <v>98</v>
      </c>
      <c r="U2" s="19" t="s">
        <v>114</v>
      </c>
    </row>
    <row r="3" spans="1:21" ht="16.3">
      <c r="A3" s="25">
        <v>1</v>
      </c>
      <c r="B3" s="19">
        <v>24</v>
      </c>
      <c r="C3" s="19" t="s">
        <v>62</v>
      </c>
      <c r="D3" s="19" t="s">
        <v>124</v>
      </c>
      <c r="E3" s="26" t="s">
        <v>85</v>
      </c>
      <c r="F3" s="19">
        <v>4096</v>
      </c>
      <c r="G3" s="27">
        <v>2304</v>
      </c>
      <c r="H3" s="28">
        <f t="shared" si="0"/>
        <v>30.023582159077673</v>
      </c>
      <c r="I3" s="19">
        <v>4</v>
      </c>
      <c r="J3" s="19">
        <v>1344</v>
      </c>
      <c r="K3" s="19">
        <v>495</v>
      </c>
      <c r="L3" s="19">
        <v>4960</v>
      </c>
      <c r="M3" s="19">
        <v>3324</v>
      </c>
      <c r="N3" s="29">
        <f t="shared" si="1"/>
        <v>10.020202020202021</v>
      </c>
      <c r="O3" s="19" t="s">
        <v>98</v>
      </c>
      <c r="P3" s="19">
        <v>512</v>
      </c>
      <c r="Q3" s="19">
        <v>1152</v>
      </c>
      <c r="R3" s="19">
        <v>10</v>
      </c>
      <c r="S3" s="19">
        <v>3</v>
      </c>
      <c r="T3" s="19" t="s">
        <v>98</v>
      </c>
      <c r="U3" s="19" t="s">
        <v>114</v>
      </c>
    </row>
    <row r="4" spans="1:21" ht="16.3">
      <c r="A4" s="25">
        <v>2</v>
      </c>
      <c r="B4" s="19">
        <v>24</v>
      </c>
      <c r="C4" s="19" t="s">
        <v>62</v>
      </c>
      <c r="D4" s="19" t="s">
        <v>125</v>
      </c>
      <c r="E4" s="26" t="s">
        <v>85</v>
      </c>
      <c r="F4" s="19">
        <v>2048</v>
      </c>
      <c r="G4" s="27">
        <v>1152</v>
      </c>
      <c r="H4" s="28">
        <v>60.15</v>
      </c>
      <c r="I4" s="19">
        <v>4</v>
      </c>
      <c r="J4" s="19">
        <v>1232</v>
      </c>
      <c r="K4" s="19">
        <v>384</v>
      </c>
      <c r="L4" s="19">
        <v>2448</v>
      </c>
      <c r="M4" s="19">
        <v>2608</v>
      </c>
      <c r="N4" s="29">
        <f t="shared" ref="N4" si="2">L4/K4</f>
        <v>6.375</v>
      </c>
      <c r="O4" s="19" t="s">
        <v>97</v>
      </c>
      <c r="P4" s="19" t="s">
        <v>113</v>
      </c>
      <c r="Q4" s="19" t="s">
        <v>113</v>
      </c>
      <c r="R4" s="19" t="s">
        <v>113</v>
      </c>
      <c r="S4" s="19" t="s">
        <v>113</v>
      </c>
      <c r="T4" s="19" t="s">
        <v>97</v>
      </c>
      <c r="U4" s="19" t="s">
        <v>113</v>
      </c>
    </row>
    <row r="5" spans="1:21" ht="16.3">
      <c r="A5" s="25">
        <v>3</v>
      </c>
      <c r="B5" s="19">
        <v>24</v>
      </c>
      <c r="C5" s="19" t="s">
        <v>62</v>
      </c>
      <c r="D5" s="19" t="s">
        <v>123</v>
      </c>
      <c r="E5" s="26" t="s">
        <v>85</v>
      </c>
      <c r="F5" s="19">
        <v>2048</v>
      </c>
      <c r="G5" s="27">
        <v>1152</v>
      </c>
      <c r="H5" s="28">
        <f>K5/L5/M5*10^6</f>
        <v>120.29351617947793</v>
      </c>
      <c r="I5" s="19">
        <v>4</v>
      </c>
      <c r="J5" s="19">
        <v>1232</v>
      </c>
      <c r="K5" s="19">
        <v>384</v>
      </c>
      <c r="L5" s="19">
        <v>2448</v>
      </c>
      <c r="M5" s="19">
        <v>1304</v>
      </c>
      <c r="N5" s="29">
        <f t="shared" ref="N5" si="3">L5/K5</f>
        <v>6.375</v>
      </c>
      <c r="O5" s="19" t="s">
        <v>97</v>
      </c>
      <c r="P5" s="19" t="s">
        <v>113</v>
      </c>
      <c r="Q5" s="19" t="s">
        <v>113</v>
      </c>
      <c r="R5" s="19" t="s">
        <v>113</v>
      </c>
      <c r="S5" s="19" t="s">
        <v>113</v>
      </c>
      <c r="T5" s="19" t="s">
        <v>97</v>
      </c>
      <c r="U5" s="19" t="s">
        <v>113</v>
      </c>
    </row>
    <row r="6" spans="1:21" ht="16.3">
      <c r="A6" s="25">
        <v>4</v>
      </c>
      <c r="B6" s="19">
        <v>24</v>
      </c>
      <c r="C6" s="19" t="s">
        <v>62</v>
      </c>
      <c r="D6" s="19" t="s">
        <v>122</v>
      </c>
      <c r="E6" s="26" t="s">
        <v>85</v>
      </c>
      <c r="F6" s="19">
        <v>2048</v>
      </c>
      <c r="G6" s="27">
        <v>1536</v>
      </c>
      <c r="H6" s="28">
        <f t="shared" ref="H6" si="4">K6/L6/M6*10^6</f>
        <v>30.023582159077673</v>
      </c>
      <c r="I6" s="19">
        <v>4</v>
      </c>
      <c r="J6" s="19">
        <v>672</v>
      </c>
      <c r="K6" s="19">
        <v>495</v>
      </c>
      <c r="L6" s="19">
        <v>4960</v>
      </c>
      <c r="M6" s="19">
        <v>3324</v>
      </c>
      <c r="N6" s="29">
        <f t="shared" ref="N6" si="5">L6/K6</f>
        <v>10.020202020202021</v>
      </c>
      <c r="O6" s="19" t="s">
        <v>97</v>
      </c>
      <c r="P6" s="19" t="s">
        <v>113</v>
      </c>
      <c r="Q6" s="19" t="s">
        <v>113</v>
      </c>
      <c r="R6" s="19" t="s">
        <v>113</v>
      </c>
      <c r="S6" s="19" t="s">
        <v>113</v>
      </c>
      <c r="T6" s="19" t="s">
        <v>97</v>
      </c>
      <c r="U6" s="19" t="s">
        <v>113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基础信息</vt:lpstr>
      <vt:lpstr>寄存器说明</vt:lpstr>
      <vt:lpstr>参数说明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骁 秦</cp:lastModifiedBy>
  <dcterms:created xsi:type="dcterms:W3CDTF">2006-09-16T00:00:00Z</dcterms:created>
  <dcterms:modified xsi:type="dcterms:W3CDTF">2025-12-18T05:55:22Z</dcterms:modified>
</cp:coreProperties>
</file>