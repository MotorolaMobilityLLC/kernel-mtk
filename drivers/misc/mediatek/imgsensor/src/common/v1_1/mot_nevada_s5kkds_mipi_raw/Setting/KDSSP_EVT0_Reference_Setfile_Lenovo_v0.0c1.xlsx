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 data\01 LAKE SETTING\"/>
    </mc:Choice>
  </mc:AlternateContent>
  <bookViews>
    <workbookView xWindow="21105" yWindow="4890" windowWidth="21000" windowHeight="14010"/>
  </bookViews>
  <sheets>
    <sheet name="History" sheetId="1" r:id="rId1"/>
    <sheet name="Sequence" sheetId="4" r:id="rId2"/>
    <sheet name="TnP" sheetId="113" r:id="rId3"/>
    <sheet name="Global" sheetId="114" r:id="rId4"/>
    <sheet name="mode" sheetId="115" r:id="rId5"/>
  </sheets>
  <definedNames>
    <definedName name="Call_Bep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localSheetId="4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15" l="1"/>
  <c r="L21" i="115" s="1"/>
  <c r="J20" i="115"/>
  <c r="H20" i="115"/>
  <c r="L18" i="115"/>
  <c r="L19" i="115" s="1"/>
  <c r="J18" i="115"/>
  <c r="J19" i="115" s="1"/>
  <c r="H18" i="115"/>
  <c r="H19" i="115" s="1"/>
  <c r="L17" i="115"/>
  <c r="M10" i="115" s="1"/>
  <c r="J17" i="115"/>
  <c r="K10" i="115" s="1"/>
  <c r="H17" i="115"/>
  <c r="I10" i="115" s="1"/>
  <c r="L14" i="115"/>
  <c r="J14" i="115"/>
  <c r="H14" i="115"/>
  <c r="H21" i="115" s="1"/>
  <c r="L13" i="115"/>
  <c r="J13" i="115"/>
  <c r="H13" i="115"/>
  <c r="L12" i="115"/>
  <c r="J12" i="115"/>
  <c r="H12" i="115"/>
  <c r="L11" i="115"/>
  <c r="J11" i="115"/>
  <c r="H11" i="115"/>
  <c r="L7" i="115"/>
  <c r="L10" i="115" s="1"/>
  <c r="J7" i="115"/>
  <c r="J10" i="115" s="1"/>
  <c r="H7" i="115"/>
  <c r="H10" i="115" s="1"/>
  <c r="L6" i="115"/>
  <c r="J6" i="115"/>
  <c r="H6" i="115"/>
  <c r="J8" i="115" l="1"/>
  <c r="J15" i="115" s="1"/>
  <c r="J4" i="115" s="1"/>
  <c r="J3" i="115" s="1"/>
  <c r="L8" i="115"/>
  <c r="L15" i="115" s="1"/>
  <c r="L4" i="115" s="1"/>
  <c r="L3" i="115" s="1"/>
  <c r="H9" i="115"/>
  <c r="J9" i="115"/>
  <c r="H8" i="115"/>
  <c r="H15" i="115" s="1"/>
  <c r="H4" i="115" s="1"/>
  <c r="H3" i="115" s="1"/>
  <c r="L9" i="115"/>
  <c r="J21" i="115"/>
  <c r="J22" i="115" s="1"/>
  <c r="E20" i="115"/>
  <c r="E18" i="115"/>
  <c r="E19" i="115" s="1"/>
  <c r="E17" i="115"/>
  <c r="F10" i="115" s="1"/>
  <c r="E14" i="115"/>
  <c r="E13" i="115"/>
  <c r="E12" i="115"/>
  <c r="E11" i="115"/>
  <c r="E7" i="115"/>
  <c r="E9" i="115" s="1"/>
  <c r="E6" i="115"/>
  <c r="C20" i="115"/>
  <c r="C18" i="115"/>
  <c r="C17" i="115"/>
  <c r="D10" i="115" s="1"/>
  <c r="C14" i="115"/>
  <c r="C13" i="115"/>
  <c r="C12" i="115"/>
  <c r="C11" i="115"/>
  <c r="C7" i="115"/>
  <c r="C10" i="115" s="1"/>
  <c r="C6" i="115"/>
  <c r="L22" i="115" l="1"/>
  <c r="H22" i="115"/>
  <c r="E21" i="115"/>
  <c r="C21" i="115"/>
  <c r="C19" i="115"/>
  <c r="E10" i="115"/>
  <c r="E8" i="115"/>
  <c r="E15" i="115" s="1"/>
  <c r="E4" i="115" s="1"/>
  <c r="E3" i="115" s="1"/>
  <c r="C8" i="115"/>
  <c r="C15" i="115" s="1"/>
  <c r="C4" i="115" s="1"/>
  <c r="C3" i="115" s="1"/>
  <c r="C9" i="115"/>
  <c r="E22" i="115" l="1"/>
  <c r="C22" i="115"/>
</calcChain>
</file>

<file path=xl/sharedStrings.xml><?xml version="1.0" encoding="utf-8"?>
<sst xmlns="http://schemas.openxmlformats.org/spreadsheetml/2006/main" count="3034" uniqueCount="1122">
  <si>
    <t>Document version</t>
  </si>
  <si>
    <t>0100</t>
  </si>
  <si>
    <t>Gr</t>
    <phoneticPr fontId="2" type="noConversion"/>
  </si>
  <si>
    <t>0001</t>
    <phoneticPr fontId="2" type="noConversion"/>
  </si>
  <si>
    <t>Date</t>
    <phoneticPr fontId="2" type="noConversion"/>
  </si>
  <si>
    <t xml:space="preserve">Description </t>
    <phoneticPr fontId="2" type="noConversion"/>
  </si>
  <si>
    <t>Author(s)</t>
    <phoneticPr fontId="2" type="noConversion"/>
  </si>
  <si>
    <t>0000</t>
    <phoneticPr fontId="2" type="noConversion"/>
  </si>
  <si>
    <t>* Initial Sequence</t>
  </si>
  <si>
    <t xml:space="preserve"> // Mode setting</t>
  </si>
  <si>
    <t>MIPI_output_speed :</t>
    <phoneticPr fontId="2" type="noConversion"/>
  </si>
  <si>
    <t>px</t>
    <phoneticPr fontId="2" type="noConversion"/>
  </si>
  <si>
    <t>First Pixel :</t>
    <phoneticPr fontId="2" type="noConversion"/>
  </si>
  <si>
    <t>First</t>
    <phoneticPr fontId="2" type="noConversion"/>
  </si>
  <si>
    <t>Default</t>
    <phoneticPr fontId="2" type="noConversion"/>
  </si>
  <si>
    <t>Full-Address</t>
    <phoneticPr fontId="2" type="noConversion"/>
  </si>
  <si>
    <t>Address</t>
    <phoneticPr fontId="2" type="noConversion"/>
  </si>
  <si>
    <r>
      <rPr>
        <b/>
        <sz val="16"/>
        <color theme="1"/>
        <rFont val="Calibri"/>
        <family val="3"/>
        <charset val="129"/>
        <scheme val="minor"/>
      </rPr>
      <t xml:space="preserve">[How to Check Streaming off] </t>
    </r>
    <r>
      <rPr>
        <sz val="16"/>
        <color theme="1"/>
        <rFont val="Calibri"/>
        <family val="3"/>
        <charset val="129"/>
        <scheme val="minor"/>
      </rPr>
      <t xml:space="preserve">Please check 0x0005 </t>
    </r>
    <r>
      <rPr>
        <sz val="16"/>
        <color rgb="FF0070C0"/>
        <rFont val="Calibri"/>
        <family val="3"/>
        <charset val="129"/>
        <scheme val="minor"/>
      </rPr>
      <t>if this value is  0xff, it means streaming off</t>
    </r>
    <phoneticPr fontId="2" type="noConversion"/>
  </si>
  <si>
    <t>V blank time</t>
    <phoneticPr fontId="2" type="noConversion"/>
  </si>
  <si>
    <t>ms</t>
    <phoneticPr fontId="2" type="noConversion"/>
  </si>
  <si>
    <t xml:space="preserve"> // Setfile Version</t>
    <phoneticPr fontId="2" type="noConversion"/>
  </si>
  <si>
    <t>0A02</t>
    <phoneticPr fontId="2" type="noConversion"/>
  </si>
  <si>
    <t>Setfile version</t>
    <phoneticPr fontId="2" type="noConversion"/>
  </si>
  <si>
    <t>//Global</t>
    <phoneticPr fontId="2" type="noConversion"/>
  </si>
  <si>
    <t>//Mode</t>
    <phoneticPr fontId="2" type="noConversion"/>
  </si>
  <si>
    <t>N/A</t>
    <phoneticPr fontId="2" type="noConversion"/>
  </si>
  <si>
    <t>Data (Hex)</t>
    <phoneticPr fontId="2" type="noConversion"/>
  </si>
  <si>
    <t>Summary</t>
    <phoneticPr fontId="2" type="noConversion"/>
  </si>
  <si>
    <t>ExtClk :</t>
    <phoneticPr fontId="2" type="noConversion"/>
  </si>
  <si>
    <t>MHz</t>
    <phoneticPr fontId="2" type="noConversion"/>
  </si>
  <si>
    <t>Vt_pix_clk :</t>
    <phoneticPr fontId="2" type="noConversion"/>
  </si>
  <si>
    <t>DBR_clk:</t>
    <phoneticPr fontId="2" type="noConversion"/>
  </si>
  <si>
    <t>Crop_Width :</t>
    <phoneticPr fontId="2" type="noConversion"/>
  </si>
  <si>
    <t>Crop_Height :</t>
    <phoneticPr fontId="2" type="noConversion"/>
  </si>
  <si>
    <t>Output_Width :</t>
    <phoneticPr fontId="2" type="noConversion"/>
  </si>
  <si>
    <t>Output_Height :</t>
    <phoneticPr fontId="2" type="noConversion"/>
  </si>
  <si>
    <t>Frame rate :</t>
    <phoneticPr fontId="2" type="noConversion"/>
  </si>
  <si>
    <t>fps</t>
    <phoneticPr fontId="2" type="noConversion"/>
  </si>
  <si>
    <t>Output format :</t>
    <phoneticPr fontId="2" type="noConversion"/>
  </si>
  <si>
    <t>Raw10</t>
    <phoneticPr fontId="2" type="noConversion"/>
  </si>
  <si>
    <t>lane</t>
    <phoneticPr fontId="2" type="noConversion"/>
  </si>
  <si>
    <t>1-H size</t>
    <phoneticPr fontId="2" type="noConversion"/>
  </si>
  <si>
    <t>H-blank :</t>
    <phoneticPr fontId="2" type="noConversion"/>
  </si>
  <si>
    <t>1-V size</t>
    <phoneticPr fontId="2" type="noConversion"/>
  </si>
  <si>
    <t>line</t>
    <phoneticPr fontId="2" type="noConversion"/>
  </si>
  <si>
    <t>V-blank :</t>
    <phoneticPr fontId="2" type="noConversion"/>
  </si>
  <si>
    <t>PDAF Tail Size</t>
    <phoneticPr fontId="2" type="noConversion"/>
  </si>
  <si>
    <t>MIPI Lanes :</t>
    <phoneticPr fontId="2" type="noConversion"/>
  </si>
  <si>
    <t xml:space="preserve"> // Reset &amp; Clock Set</t>
    <phoneticPr fontId="2" type="noConversion"/>
  </si>
  <si>
    <t>0000 0000</t>
    <phoneticPr fontId="2" type="noConversion"/>
  </si>
  <si>
    <t>4000013E</t>
  </si>
  <si>
    <t>013E</t>
  </si>
  <si>
    <t>4000030C</t>
  </si>
  <si>
    <t>030C</t>
  </si>
  <si>
    <t>4000030E</t>
  </si>
  <si>
    <t>030E</t>
  </si>
  <si>
    <t>4000030A</t>
  </si>
  <si>
    <t>030A</t>
  </si>
  <si>
    <t>4000034A</t>
  </si>
  <si>
    <t>034A</t>
  </si>
  <si>
    <t>4000034C</t>
  </si>
  <si>
    <t>034C</t>
  </si>
  <si>
    <t>4000034E</t>
  </si>
  <si>
    <t>034E</t>
  </si>
  <si>
    <t>0A0A</t>
  </si>
  <si>
    <t>4000011C</t>
  </si>
  <si>
    <t>011C</t>
  </si>
  <si>
    <t>40000D00</t>
  </si>
  <si>
    <t>0D00</t>
  </si>
  <si>
    <t>40000D02</t>
  </si>
  <si>
    <t>0D02</t>
  </si>
  <si>
    <t>40000D04</t>
  </si>
  <si>
    <t>0D04</t>
  </si>
  <si>
    <t>40000B06</t>
  </si>
  <si>
    <t>0B06</t>
  </si>
  <si>
    <t>40000B08</t>
  </si>
  <si>
    <t>0B08</t>
  </si>
  <si>
    <t>40000136</t>
  </si>
  <si>
    <t>0136</t>
  </si>
  <si>
    <t>40000304</t>
  </si>
  <si>
    <t>0304</t>
  </si>
  <si>
    <t>0002</t>
  </si>
  <si>
    <t>40000306</t>
  </si>
  <si>
    <t>0306</t>
  </si>
  <si>
    <t>0000</t>
  </si>
  <si>
    <t>40000302</t>
  </si>
  <si>
    <t>0302</t>
  </si>
  <si>
    <t>0001</t>
  </si>
  <si>
    <t>40000300</t>
  </si>
  <si>
    <t>0300</t>
  </si>
  <si>
    <t>0008</t>
  </si>
  <si>
    <t>40000310</t>
  </si>
  <si>
    <t>0310</t>
  </si>
  <si>
    <t>40000312</t>
  </si>
  <si>
    <t>0312</t>
  </si>
  <si>
    <t>40000308</t>
  </si>
  <si>
    <t>0308</t>
  </si>
  <si>
    <t>40000344</t>
  </si>
  <si>
    <t>0344</t>
  </si>
  <si>
    <t>0200</t>
  </si>
  <si>
    <t>40000348</t>
  </si>
  <si>
    <t>0348</t>
  </si>
  <si>
    <t>40000346</t>
  </si>
  <si>
    <t>0346</t>
  </si>
  <si>
    <t>40000350</t>
  </si>
  <si>
    <t>0350</t>
  </si>
  <si>
    <t>0010</t>
  </si>
  <si>
    <t>40000352</t>
  </si>
  <si>
    <t>0352</t>
  </si>
  <si>
    <t>0004</t>
  </si>
  <si>
    <t>1000</t>
  </si>
  <si>
    <t>0900</t>
  </si>
  <si>
    <t>40000900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</si>
  <si>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</si>
  <si>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</si>
  <si>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</si>
  <si>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</si>
  <si>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</si>
  <si>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</si>
  <si>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</si>
  <si>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</si>
  <si>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40000342</t>
  </si>
  <si>
    <t>0342</t>
  </si>
  <si>
    <t>40000340</t>
  </si>
  <si>
    <t>0340</t>
  </si>
  <si>
    <t>40000702</t>
  </si>
  <si>
    <t>0702</t>
  </si>
  <si>
    <t>40000112</t>
  </si>
  <si>
    <t>0112</t>
  </si>
  <si>
    <t>40000114</t>
  </si>
  <si>
    <t>0114</t>
  </si>
  <si>
    <t>40000116</t>
  </si>
  <si>
    <t>0116</t>
  </si>
  <si>
    <t>40000118</t>
  </si>
  <si>
    <t>0118</t>
  </si>
  <si>
    <t>0101</t>
  </si>
  <si>
    <t>0404</t>
  </si>
  <si>
    <t>0400</t>
  </si>
  <si>
    <t>0122</t>
  </si>
  <si>
    <t>2B00</t>
  </si>
  <si>
    <t>6010</t>
    <phoneticPr fontId="2" type="noConversion"/>
  </si>
  <si>
    <r>
      <t>01</t>
    </r>
    <r>
      <rPr>
        <sz val="11"/>
        <color rgb="FFFF0000"/>
        <rFont val="Calibri"/>
        <family val="2"/>
      </rPr>
      <t>00</t>
    </r>
    <phoneticPr fontId="2" type="noConversion"/>
  </si>
  <si>
    <t xml:space="preserve"> // Streaming on</t>
    <phoneticPr fontId="2" type="noConversion"/>
  </si>
  <si>
    <t>40000404</t>
  </si>
  <si>
    <t>6214</t>
    <phoneticPr fontId="2" type="noConversion"/>
  </si>
  <si>
    <t>6218</t>
    <phoneticPr fontId="2" type="noConversion"/>
  </si>
  <si>
    <t>FF7D</t>
    <phoneticPr fontId="2" type="noConversion"/>
  </si>
  <si>
    <t>0000</t>
    <phoneticPr fontId="2" type="noConversion"/>
  </si>
  <si>
    <t>0078</t>
    <phoneticPr fontId="2" type="noConversion"/>
  </si>
  <si>
    <t>Global</t>
    <phoneticPr fontId="2" type="noConversion"/>
  </si>
  <si>
    <t>24001C6A</t>
  </si>
  <si>
    <t>2400</t>
  </si>
  <si>
    <t>9600</t>
  </si>
  <si>
    <t>4000</t>
  </si>
  <si>
    <t>40000936</t>
  </si>
  <si>
    <t>40000086</t>
  </si>
  <si>
    <t>40000C40</t>
  </si>
  <si>
    <t>1800</t>
  </si>
  <si>
    <t>0006</t>
  </si>
  <si>
    <t>1C6A</t>
  </si>
  <si>
    <t>19AF</t>
  </si>
  <si>
    <t>134F</t>
  </si>
  <si>
    <t>0936</t>
  </si>
  <si>
    <t>0C40</t>
  </si>
  <si>
    <t>0086</t>
  </si>
  <si>
    <t>4000080E</t>
  </si>
  <si>
    <t>080E</t>
  </si>
  <si>
    <t>24000070</t>
  </si>
  <si>
    <t>0070</t>
  </si>
  <si>
    <t>240000E6</t>
  </si>
  <si>
    <t>00E6</t>
  </si>
  <si>
    <t>0A00</t>
  </si>
  <si>
    <t>24000130</t>
  </si>
  <si>
    <t>0130</t>
  </si>
  <si>
    <t>24000132</t>
  </si>
  <si>
    <t>24000134</t>
  </si>
  <si>
    <t>0800</t>
  </si>
  <si>
    <t>24000138</t>
  </si>
  <si>
    <t>0138</t>
  </si>
  <si>
    <t>240001A6</t>
  </si>
  <si>
    <t>01A6</t>
  </si>
  <si>
    <t>24000B32</t>
  </si>
  <si>
    <t>0B32</t>
  </si>
  <si>
    <t>24000B4A</t>
  </si>
  <si>
    <t>0B4A</t>
  </si>
  <si>
    <t>2400109E</t>
  </si>
  <si>
    <t>109E</t>
  </si>
  <si>
    <t>240010BA</t>
  </si>
  <si>
    <t>10BA</t>
  </si>
  <si>
    <t>240010DA</t>
  </si>
  <si>
    <t>10DA</t>
  </si>
  <si>
    <t>24001230</t>
  </si>
  <si>
    <t>1230</t>
  </si>
  <si>
    <t>2400128A</t>
  </si>
  <si>
    <t>2400128C</t>
  </si>
  <si>
    <t>2400128E</t>
  </si>
  <si>
    <t>0600</t>
  </si>
  <si>
    <t>24001290</t>
  </si>
  <si>
    <t>240012A0</t>
  </si>
  <si>
    <t>12A0</t>
  </si>
  <si>
    <t>240012C4</t>
  </si>
  <si>
    <t>12C4</t>
  </si>
  <si>
    <t>0402</t>
  </si>
  <si>
    <t>240012DC</t>
  </si>
  <si>
    <t>12DC</t>
  </si>
  <si>
    <t>24001F42</t>
  </si>
  <si>
    <t>1F42</t>
  </si>
  <si>
    <t>24001F5E</t>
  </si>
  <si>
    <t>1F5E</t>
  </si>
  <si>
    <t>24002176</t>
  </si>
  <si>
    <t>2176</t>
  </si>
  <si>
    <t>24002F8E</t>
  </si>
  <si>
    <t>2F8E</t>
  </si>
  <si>
    <t>24003E40</t>
  </si>
  <si>
    <t>3E40</t>
  </si>
  <si>
    <t>0CD0</t>
  </si>
  <si>
    <t>0804</t>
  </si>
  <si>
    <t>7701</t>
  </si>
  <si>
    <t>4sum</t>
    <phoneticPr fontId="2" type="noConversion"/>
  </si>
  <si>
    <t>00EC</t>
  </si>
  <si>
    <t>0B48</t>
  </si>
  <si>
    <t>1256</t>
  </si>
  <si>
    <t>0B00</t>
  </si>
  <si>
    <t>1288</t>
  </si>
  <si>
    <t>1C2E</t>
  </si>
  <si>
    <t>1CBA</t>
  </si>
  <si>
    <t>1CBE</t>
  </si>
  <si>
    <t>303C</t>
  </si>
  <si>
    <t>30AE</t>
  </si>
  <si>
    <t>3128</t>
  </si>
  <si>
    <t>011A</t>
  </si>
  <si>
    <t>6226</t>
  </si>
  <si>
    <t>01FC</t>
  </si>
  <si>
    <t>E702</t>
  </si>
  <si>
    <t>B777</t>
  </si>
  <si>
    <t>0024</t>
  </si>
  <si>
    <t>9387</t>
  </si>
  <si>
    <t>1307</t>
  </si>
  <si>
    <t>071F</t>
  </si>
  <si>
    <t>232C</t>
  </si>
  <si>
    <t>231E</t>
  </si>
  <si>
    <t>6700</t>
  </si>
  <si>
    <t>9700</t>
  </si>
  <si>
    <t>E780</t>
  </si>
  <si>
    <t>F400</t>
  </si>
  <si>
    <t>03A4</t>
  </si>
  <si>
    <t>0146</t>
  </si>
  <si>
    <t>1145</t>
  </si>
  <si>
    <t>A285</t>
  </si>
  <si>
    <t>FFFB</t>
  </si>
  <si>
    <t>0546</t>
  </si>
  <si>
    <t>00FC</t>
  </si>
  <si>
    <t>B767</t>
  </si>
  <si>
    <t>0020</t>
  </si>
  <si>
    <t>3777</t>
  </si>
  <si>
    <t>9385</t>
  </si>
  <si>
    <t>1305</t>
  </si>
  <si>
    <t>2324</t>
  </si>
  <si>
    <t>F79E</t>
  </si>
  <si>
    <t>0050</t>
  </si>
  <si>
    <t>10F6</t>
  </si>
  <si>
    <t>1222</t>
  </si>
  <si>
    <t>9411</t>
  </si>
  <si>
    <t>1260</t>
  </si>
  <si>
    <t>1C66</t>
  </si>
  <si>
    <t>1C8E</t>
  </si>
  <si>
    <t>3401</t>
  </si>
  <si>
    <t>1F02</t>
  </si>
  <si>
    <t>CA44</t>
  </si>
  <si>
    <t>0B0B</t>
  </si>
  <si>
    <t>2F7C</t>
  </si>
  <si>
    <t>0FEA</t>
  </si>
  <si>
    <t>24001226</t>
  </si>
  <si>
    <t>24002156</t>
  </si>
  <si>
    <t>2156</t>
  </si>
  <si>
    <t>24002180</t>
  </si>
  <si>
    <t>2180</t>
  </si>
  <si>
    <t>24002182</t>
  </si>
  <si>
    <t>24002FA6</t>
  </si>
  <si>
    <t>2FA6</t>
  </si>
  <si>
    <t>240030C6</t>
  </si>
  <si>
    <t>30C6</t>
  </si>
  <si>
    <t>2400313A</t>
  </si>
  <si>
    <t>313A</t>
  </si>
  <si>
    <t>24003164</t>
  </si>
  <si>
    <t>//Address</t>
    <phoneticPr fontId="2" type="noConversion"/>
  </si>
  <si>
    <t>6226</t>
    <phoneticPr fontId="2" type="noConversion"/>
  </si>
  <si>
    <t>0001</t>
    <phoneticPr fontId="2" type="noConversion"/>
  </si>
  <si>
    <t>E803</t>
  </si>
  <si>
    <t>83C7</t>
  </si>
  <si>
    <t>232A</t>
  </si>
  <si>
    <t>23AA</t>
  </si>
  <si>
    <t>B747</t>
  </si>
  <si>
    <t>03C5</t>
  </si>
  <si>
    <t>9D45</t>
  </si>
  <si>
    <t>2312</t>
  </si>
  <si>
    <t>F700</t>
  </si>
  <si>
    <t>1304</t>
  </si>
  <si>
    <t>83A7</t>
  </si>
  <si>
    <t>03C7</t>
  </si>
  <si>
    <t>17A3</t>
  </si>
  <si>
    <t>0120</t>
  </si>
  <si>
    <t>0080</t>
  </si>
  <si>
    <t>24000050</t>
  </si>
  <si>
    <t>005A</t>
  </si>
  <si>
    <t>2400005A</t>
  </si>
  <si>
    <t>2400005C</t>
  </si>
  <si>
    <t>0060</t>
  </si>
  <si>
    <t>24000060</t>
  </si>
  <si>
    <t>D606</t>
  </si>
  <si>
    <t>240000EC</t>
  </si>
  <si>
    <t>2400011A</t>
  </si>
  <si>
    <t>0274</t>
  </si>
  <si>
    <t>24000274</t>
  </si>
  <si>
    <t>0202</t>
  </si>
  <si>
    <t>0906</t>
  </si>
  <si>
    <t>24000906</t>
  </si>
  <si>
    <t>097E</t>
  </si>
  <si>
    <t>2400097E</t>
  </si>
  <si>
    <t>09F6</t>
  </si>
  <si>
    <t>240009F6</t>
  </si>
  <si>
    <t>0A6E</t>
  </si>
  <si>
    <t>24000A6E</t>
  </si>
  <si>
    <t>0A78</t>
  </si>
  <si>
    <t>24000A78</t>
  </si>
  <si>
    <t>3000</t>
  </si>
  <si>
    <t>24000A7A</t>
  </si>
  <si>
    <t>0AE6</t>
  </si>
  <si>
    <t>24000AE6</t>
  </si>
  <si>
    <t>0AF0</t>
  </si>
  <si>
    <t>24000AF0</t>
  </si>
  <si>
    <t>24000AF2</t>
  </si>
  <si>
    <t>24000B48</t>
  </si>
  <si>
    <t>240010F6</t>
  </si>
  <si>
    <t>24001222</t>
  </si>
  <si>
    <t>24001224</t>
  </si>
  <si>
    <t>24001256</t>
  </si>
  <si>
    <t>24001260</t>
  </si>
  <si>
    <t>24001C2E</t>
  </si>
  <si>
    <t>24001C66</t>
  </si>
  <si>
    <t>530A</t>
  </si>
  <si>
    <t>24001C8E</t>
  </si>
  <si>
    <t>24001CBE</t>
  </si>
  <si>
    <t>24001F02</t>
  </si>
  <si>
    <t>2144</t>
  </si>
  <si>
    <t>24002144</t>
  </si>
  <si>
    <t>1A00</t>
  </si>
  <si>
    <t>22BE</t>
  </si>
  <si>
    <t>240022BE</t>
  </si>
  <si>
    <t>2322</t>
  </si>
  <si>
    <t>24002322</t>
  </si>
  <si>
    <t>24002F7C</t>
  </si>
  <si>
    <t>2F94</t>
  </si>
  <si>
    <t>24002F94</t>
  </si>
  <si>
    <t>2FDE</t>
  </si>
  <si>
    <t>24002FDE</t>
  </si>
  <si>
    <t>24002FE0</t>
  </si>
  <si>
    <t>3018</t>
  </si>
  <si>
    <t>24003018</t>
  </si>
  <si>
    <t>302C</t>
  </si>
  <si>
    <t>2400302C</t>
  </si>
  <si>
    <t>2400303C</t>
  </si>
  <si>
    <t>3098</t>
  </si>
  <si>
    <t>24003098</t>
  </si>
  <si>
    <t>240030AE</t>
  </si>
  <si>
    <t>24003128</t>
  </si>
  <si>
    <t>314A</t>
  </si>
  <si>
    <t>2400314A</t>
  </si>
  <si>
    <t>3162</t>
  </si>
  <si>
    <t>24003162</t>
  </si>
  <si>
    <t>1400</t>
  </si>
  <si>
    <t>3E50</t>
  </si>
  <si>
    <t>24003E50</t>
  </si>
  <si>
    <t>5732</t>
  </si>
  <si>
    <t>24005732</t>
  </si>
  <si>
    <t>58C0</t>
  </si>
  <si>
    <t>240058C0</t>
  </si>
  <si>
    <t>58C4</t>
  </si>
  <si>
    <t>240058C4</t>
  </si>
  <si>
    <t>240058C6</t>
  </si>
  <si>
    <t>240058C8</t>
  </si>
  <si>
    <t>58CE</t>
  </si>
  <si>
    <t>240058CE</t>
  </si>
  <si>
    <t>4000011A</t>
  </si>
  <si>
    <t>40000B0A</t>
  </si>
  <si>
    <t>0B0A</t>
  </si>
  <si>
    <t>40000FEA</t>
  </si>
  <si>
    <t>40006226</t>
  </si>
  <si>
    <t>4000F41C</t>
  </si>
  <si>
    <t>F41C</t>
  </si>
  <si>
    <t>4000F44A</t>
  </si>
  <si>
    <t>F44A</t>
  </si>
  <si>
    <t>4000F44C</t>
  </si>
  <si>
    <t>F44C</t>
  </si>
  <si>
    <t>1200</t>
  </si>
  <si>
    <t>24000080</t>
  </si>
  <si>
    <t>0084</t>
  </si>
  <si>
    <t>24000084</t>
  </si>
  <si>
    <t>008A</t>
  </si>
  <si>
    <t>2400008A</t>
  </si>
  <si>
    <t>24000098</t>
  </si>
  <si>
    <t>0700</t>
  </si>
  <si>
    <t>2400009A</t>
  </si>
  <si>
    <t>2400009C</t>
  </si>
  <si>
    <t>2400009E</t>
  </si>
  <si>
    <t>00B4</t>
  </si>
  <si>
    <t>240000B4</t>
  </si>
  <si>
    <t>4001</t>
  </si>
  <si>
    <t>00B8</t>
  </si>
  <si>
    <t>240000B8</t>
  </si>
  <si>
    <t>24000308</t>
  </si>
  <si>
    <t>2400030A</t>
  </si>
  <si>
    <t>2400030C</t>
  </si>
  <si>
    <t>2400030E</t>
  </si>
  <si>
    <t>24000310</t>
  </si>
  <si>
    <t>24000312</t>
  </si>
  <si>
    <t>24000314</t>
  </si>
  <si>
    <t>24000316</t>
  </si>
  <si>
    <t>24000318</t>
  </si>
  <si>
    <t>2400031A</t>
  </si>
  <si>
    <t>2400031C</t>
  </si>
  <si>
    <t>2400031E</t>
  </si>
  <si>
    <t>24000320</t>
  </si>
  <si>
    <t>24000322</t>
  </si>
  <si>
    <t>24000324</t>
  </si>
  <si>
    <t>24000326</t>
  </si>
  <si>
    <t>1088</t>
  </si>
  <si>
    <t>24001088</t>
  </si>
  <si>
    <t>24001288</t>
  </si>
  <si>
    <t>24001292</t>
  </si>
  <si>
    <t>1C9A</t>
  </si>
  <si>
    <t>24001C9A</t>
  </si>
  <si>
    <t>8207</t>
  </si>
  <si>
    <t>1CA4</t>
  </si>
  <si>
    <t>24001CA4</t>
  </si>
  <si>
    <t>8A00</t>
  </si>
  <si>
    <t>24001CA6</t>
  </si>
  <si>
    <t>1CB0</t>
  </si>
  <si>
    <t>24001CB0</t>
  </si>
  <si>
    <t>24001CBA</t>
  </si>
  <si>
    <t>22C2</t>
  </si>
  <si>
    <t>240022C2</t>
  </si>
  <si>
    <t>22C8</t>
  </si>
  <si>
    <t>240022C8</t>
  </si>
  <si>
    <t>240022CA</t>
  </si>
  <si>
    <t>8000</t>
  </si>
  <si>
    <t>240022CC</t>
  </si>
  <si>
    <t>240022CE</t>
  </si>
  <si>
    <t>240022D0</t>
  </si>
  <si>
    <t>240022D2</t>
  </si>
  <si>
    <t>240022D4</t>
  </si>
  <si>
    <t>230E</t>
  </si>
  <si>
    <t>2400230E</t>
  </si>
  <si>
    <t>54F4</t>
  </si>
  <si>
    <t>24002310</t>
  </si>
  <si>
    <t>24002312</t>
  </si>
  <si>
    <t>24002314</t>
  </si>
  <si>
    <t>24002316</t>
  </si>
  <si>
    <t>24002318</t>
  </si>
  <si>
    <t>2400231A</t>
  </si>
  <si>
    <t>2400231C</t>
  </si>
  <si>
    <t>2400231E</t>
  </si>
  <si>
    <t>24002320</t>
  </si>
  <si>
    <t>6AF4</t>
  </si>
  <si>
    <t>24002324</t>
  </si>
  <si>
    <t>24002326</t>
  </si>
  <si>
    <t>24002328</t>
  </si>
  <si>
    <t>2400232A</t>
  </si>
  <si>
    <t>2400232C</t>
  </si>
  <si>
    <t>2400232E</t>
  </si>
  <si>
    <t>24002330</t>
  </si>
  <si>
    <t>30A0</t>
  </si>
  <si>
    <t>240030A0</t>
  </si>
  <si>
    <t>3E54</t>
  </si>
  <si>
    <t>24003E54</t>
  </si>
  <si>
    <t>5730</t>
  </si>
  <si>
    <t>24005730</t>
  </si>
  <si>
    <t>58CC</t>
  </si>
  <si>
    <t>240058CC</t>
  </si>
  <si>
    <t>0C00</t>
  </si>
  <si>
    <t>0206</t>
  </si>
  <si>
    <t>BF00</t>
  </si>
  <si>
    <t>7F00</t>
  </si>
  <si>
    <t>//TnP</t>
    <phoneticPr fontId="2" type="noConversion"/>
  </si>
  <si>
    <t xml:space="preserve"> // Analog setting</t>
    <phoneticPr fontId="2" type="noConversion"/>
  </si>
  <si>
    <t xml:space="preserve"> // FW setting</t>
    <phoneticPr fontId="2" type="noConversion"/>
  </si>
  <si>
    <t>01EA</t>
  </si>
  <si>
    <t>C017</t>
  </si>
  <si>
    <t>0018</t>
  </si>
  <si>
    <t>028C</t>
  </si>
  <si>
    <t>0294</t>
  </si>
  <si>
    <t>02A0</t>
  </si>
  <si>
    <t>0632</t>
  </si>
  <si>
    <t>1CA6</t>
  </si>
  <si>
    <t>222E</t>
  </si>
  <si>
    <t>22CA</t>
  </si>
  <si>
    <t>22D4</t>
  </si>
  <si>
    <t>2310</t>
  </si>
  <si>
    <t>2328</t>
  </si>
  <si>
    <t>40000816</t>
  </si>
  <si>
    <t>0816</t>
  </si>
  <si>
    <t>240001EA</t>
  </si>
  <si>
    <t>240001EC</t>
  </si>
  <si>
    <t>2400028C</t>
  </si>
  <si>
    <t>2400028E</t>
  </si>
  <si>
    <t>24000294</t>
  </si>
  <si>
    <t>24000296</t>
  </si>
  <si>
    <t>24000298</t>
  </si>
  <si>
    <t>2400029A</t>
  </si>
  <si>
    <t>240002A0</t>
  </si>
  <si>
    <t>240002A2</t>
  </si>
  <si>
    <t>24000632</t>
  </si>
  <si>
    <t>240021B6</t>
  </si>
  <si>
    <t>240021BE</t>
  </si>
  <si>
    <t>240021C8</t>
  </si>
  <si>
    <t>2400222E</t>
  </si>
  <si>
    <t>24002230</t>
  </si>
  <si>
    <t>24002232</t>
  </si>
  <si>
    <t>0110</t>
  </si>
  <si>
    <t>B787</t>
  </si>
  <si>
    <t>3764</t>
  </si>
  <si>
    <t>8710</t>
  </si>
  <si>
    <t>97F0</t>
  </si>
  <si>
    <t>2314</t>
  </si>
  <si>
    <t>6313</t>
  </si>
  <si>
    <t>9730</t>
  </si>
  <si>
    <t>37E5</t>
  </si>
  <si>
    <t>3787</t>
  </si>
  <si>
    <t>D60E</t>
  </si>
  <si>
    <t>2400028A</t>
  </si>
  <si>
    <t>029C</t>
  </si>
  <si>
    <t>2400029C</t>
  </si>
  <si>
    <t>2400029E</t>
  </si>
  <si>
    <t>02A4</t>
  </si>
  <si>
    <t>240002A4</t>
  </si>
  <si>
    <t>240002A6</t>
  </si>
  <si>
    <t>240002A8</t>
  </si>
  <si>
    <t>240002AA</t>
  </si>
  <si>
    <t>240002AC</t>
  </si>
  <si>
    <t>080A</t>
  </si>
  <si>
    <t>2400063A</t>
  </si>
  <si>
    <t>2400063C</t>
  </si>
  <si>
    <t>2400063E</t>
  </si>
  <si>
    <t>FFFF</t>
  </si>
  <si>
    <t>240021B2</t>
  </si>
  <si>
    <t>22D2</t>
  </si>
  <si>
    <t>2F70</t>
  </si>
  <si>
    <t>24002F70</t>
  </si>
  <si>
    <t>2F74</t>
  </si>
  <si>
    <t>24002F74</t>
  </si>
  <si>
    <t>30D4</t>
  </si>
  <si>
    <t>240030D4</t>
  </si>
  <si>
    <t>4000001E</t>
  </si>
  <si>
    <t>001E</t>
  </si>
  <si>
    <t>0288</t>
  </si>
  <si>
    <t>24000288</t>
  </si>
  <si>
    <t>0290</t>
  </si>
  <si>
    <t>24000290</t>
  </si>
  <si>
    <t>24000292</t>
  </si>
  <si>
    <t>0634</t>
  </si>
  <si>
    <t>24000634</t>
  </si>
  <si>
    <t>24000636</t>
  </si>
  <si>
    <t>24000638</t>
  </si>
  <si>
    <t>24000640</t>
  </si>
  <si>
    <t>24000642</t>
  </si>
  <si>
    <t>1248</t>
  </si>
  <si>
    <t>24001248</t>
  </si>
  <si>
    <t>6018</t>
  </si>
  <si>
    <t>1292</t>
  </si>
  <si>
    <t>24001294</t>
  </si>
  <si>
    <t>2190</t>
  </si>
  <si>
    <t>24002190</t>
  </si>
  <si>
    <t>2320</t>
  </si>
  <si>
    <t>3020</t>
  </si>
  <si>
    <t>24003020</t>
  </si>
  <si>
    <t>7108</t>
  </si>
  <si>
    <t>24007108</t>
  </si>
  <si>
    <t>240013B6</t>
  </si>
  <si>
    <t>240013BC</t>
  </si>
  <si>
    <t>240021B8</t>
  </si>
  <si>
    <t>240021BA</t>
  </si>
  <si>
    <t>240021BC</t>
  </si>
  <si>
    <t>240021C0</t>
  </si>
  <si>
    <t>240021C4</t>
  </si>
  <si>
    <t>240021C6</t>
  </si>
  <si>
    <t>240021CA</t>
  </si>
  <si>
    <t>240021CE</t>
  </si>
  <si>
    <t>240021D0</t>
  </si>
  <si>
    <t>240021FE</t>
  </si>
  <si>
    <t>24002200</t>
  </si>
  <si>
    <t>24002206</t>
  </si>
  <si>
    <t>2400225E</t>
  </si>
  <si>
    <t>24002260</t>
  </si>
  <si>
    <t>24002262</t>
  </si>
  <si>
    <t>24005734</t>
  </si>
  <si>
    <t>13B6</t>
  </si>
  <si>
    <t>13BC</t>
  </si>
  <si>
    <t>21C4</t>
  </si>
  <si>
    <t>21CE</t>
  </si>
  <si>
    <t>21FE</t>
  </si>
  <si>
    <t>2206</t>
  </si>
  <si>
    <t>4100</t>
  </si>
  <si>
    <t>225E</t>
  </si>
  <si>
    <t>4C00</t>
  </si>
  <si>
    <t>02F4</t>
  </si>
  <si>
    <t>0108</t>
  </si>
  <si>
    <t>6600</t>
  </si>
  <si>
    <t>0328</t>
  </si>
  <si>
    <t>24000328</t>
  </si>
  <si>
    <t>2400032A</t>
  </si>
  <si>
    <t>2400032C</t>
  </si>
  <si>
    <t>21B0</t>
  </si>
  <si>
    <t>240021B0</t>
  </si>
  <si>
    <t>2202</t>
  </si>
  <si>
    <t>6CF4</t>
  </si>
  <si>
    <t>24002204</t>
  </si>
  <si>
    <t>2208</t>
  </si>
  <si>
    <t>24002208</t>
  </si>
  <si>
    <t>3EF6</t>
  </si>
  <si>
    <t>1EA1</t>
  </si>
  <si>
    <t>5736</t>
  </si>
  <si>
    <t>24005736</t>
  </si>
  <si>
    <t>24002202</t>
  </si>
  <si>
    <t>0098</t>
  </si>
  <si>
    <t>21B6</t>
  </si>
  <si>
    <t>5500</t>
  </si>
  <si>
    <t>7B1C</t>
  </si>
  <si>
    <t>04A6</t>
  </si>
  <si>
    <t>440E</t>
  </si>
  <si>
    <t>C724</t>
  </si>
  <si>
    <t>D724</t>
  </si>
  <si>
    <t>E900</t>
  </si>
  <si>
    <t>B397</t>
  </si>
  <si>
    <t>E40E</t>
  </si>
  <si>
    <t>F424</t>
  </si>
  <si>
    <t>97B0</t>
  </si>
  <si>
    <t>240F</t>
  </si>
  <si>
    <t>9710</t>
  </si>
  <si>
    <t>0329</t>
  </si>
  <si>
    <t>8324</t>
  </si>
  <si>
    <t>4425</t>
  </si>
  <si>
    <t>3317</t>
  </si>
  <si>
    <t>9424</t>
  </si>
  <si>
    <t>240021B4</t>
  </si>
  <si>
    <t>21D2</t>
  </si>
  <si>
    <t>240021D2</t>
  </si>
  <si>
    <t>10D6</t>
  </si>
  <si>
    <t>p8</t>
    <phoneticPr fontId="2" type="noConversion"/>
  </si>
  <si>
    <t>*OTP TnP written chips</t>
    <phoneticPr fontId="2" type="noConversion"/>
  </si>
  <si>
    <t>87FF</t>
  </si>
  <si>
    <t>D8C3</t>
  </si>
  <si>
    <t>B746</t>
  </si>
  <si>
    <t>E6F4</t>
  </si>
  <si>
    <t>98CB</t>
  </si>
  <si>
    <t>0326</t>
  </si>
  <si>
    <t>2326</t>
  </si>
  <si>
    <t>1965</t>
  </si>
  <si>
    <t>8965</t>
  </si>
  <si>
    <t>0522</t>
  </si>
  <si>
    <t>9780</t>
  </si>
  <si>
    <t>1611</t>
  </si>
  <si>
    <t>1607</t>
  </si>
  <si>
    <t>1613</t>
  </si>
  <si>
    <t>1609</t>
  </si>
  <si>
    <t>1619</t>
  </si>
  <si>
    <t>161F</t>
  </si>
  <si>
    <t>//Init.</t>
    <phoneticPr fontId="2" type="noConversion"/>
  </si>
  <si>
    <t>FCFC</t>
  </si>
  <si>
    <t>7B1E</t>
  </si>
  <si>
    <t>7B20</t>
  </si>
  <si>
    <t>7B22</t>
  </si>
  <si>
    <t>E329</t>
  </si>
  <si>
    <t>7B24</t>
  </si>
  <si>
    <t>7B26</t>
  </si>
  <si>
    <t>7B28</t>
  </si>
  <si>
    <t>7B2A</t>
  </si>
  <si>
    <t>7B2C</t>
  </si>
  <si>
    <t>7B2E</t>
  </si>
  <si>
    <t>7B30</t>
  </si>
  <si>
    <t>7B32</t>
  </si>
  <si>
    <t>7B34</t>
  </si>
  <si>
    <t>7B36</t>
  </si>
  <si>
    <t>7B38</t>
  </si>
  <si>
    <t>7B3A</t>
  </si>
  <si>
    <t>7B3C</t>
  </si>
  <si>
    <t>7B3E</t>
  </si>
  <si>
    <t>7B40</t>
  </si>
  <si>
    <t>7B42</t>
  </si>
  <si>
    <t>7B44</t>
  </si>
  <si>
    <t>7B46</t>
  </si>
  <si>
    <t>7B48</t>
  </si>
  <si>
    <t>7B4A</t>
  </si>
  <si>
    <t>7B4C</t>
  </si>
  <si>
    <t>7B4E</t>
  </si>
  <si>
    <t>7B50</t>
  </si>
  <si>
    <t>87BE</t>
  </si>
  <si>
    <t>7B52</t>
  </si>
  <si>
    <t>7B54</t>
  </si>
  <si>
    <t>7B56</t>
  </si>
  <si>
    <t>B785</t>
  </si>
  <si>
    <t>7B58</t>
  </si>
  <si>
    <t>7B5A</t>
  </si>
  <si>
    <t>7B5C</t>
  </si>
  <si>
    <t>7B5E</t>
  </si>
  <si>
    <t>7B60</t>
  </si>
  <si>
    <t>7B62</t>
  </si>
  <si>
    <t>7B64</t>
  </si>
  <si>
    <t>E7BB</t>
  </si>
  <si>
    <t>7B66</t>
  </si>
  <si>
    <t>7B68</t>
  </si>
  <si>
    <t>7B6A</t>
  </si>
  <si>
    <t>7B6C</t>
  </si>
  <si>
    <t>7B6E</t>
  </si>
  <si>
    <t>C504</t>
  </si>
  <si>
    <t>7B70</t>
  </si>
  <si>
    <t>7B72</t>
  </si>
  <si>
    <t>7B74</t>
  </si>
  <si>
    <t>7B76</t>
  </si>
  <si>
    <t>7B78</t>
  </si>
  <si>
    <t>0036</t>
  </si>
  <si>
    <t>7B7A</t>
  </si>
  <si>
    <t>7B7C</t>
  </si>
  <si>
    <t>7B7E</t>
  </si>
  <si>
    <t>7B80</t>
  </si>
  <si>
    <t>7B82</t>
  </si>
  <si>
    <t>7B84</t>
  </si>
  <si>
    <t>7B86</t>
  </si>
  <si>
    <t>7B88</t>
  </si>
  <si>
    <t>7B8A</t>
  </si>
  <si>
    <t>7B8C</t>
  </si>
  <si>
    <t>7B8E</t>
  </si>
  <si>
    <t>7B90</t>
  </si>
  <si>
    <t>7B92</t>
  </si>
  <si>
    <t>7B94</t>
  </si>
  <si>
    <t>7B96</t>
  </si>
  <si>
    <t>7B98</t>
  </si>
  <si>
    <t>7B9A</t>
  </si>
  <si>
    <t>7B9C</t>
  </si>
  <si>
    <t>7B9E</t>
  </si>
  <si>
    <t>7BA0</t>
  </si>
  <si>
    <t>7BA2</t>
  </si>
  <si>
    <t>7BA4</t>
  </si>
  <si>
    <t>7BA6</t>
  </si>
  <si>
    <t>7BA8</t>
  </si>
  <si>
    <t>7BAA</t>
  </si>
  <si>
    <t>7BAC</t>
  </si>
  <si>
    <t>7BAE</t>
  </si>
  <si>
    <t>7BB0</t>
  </si>
  <si>
    <t>7BB2</t>
  </si>
  <si>
    <t>7BB4</t>
  </si>
  <si>
    <t>7BB6</t>
  </si>
  <si>
    <t>7BB8</t>
  </si>
  <si>
    <t>7BBA</t>
  </si>
  <si>
    <t>7BBC</t>
  </si>
  <si>
    <t>7BBE</t>
  </si>
  <si>
    <t>7BC0</t>
  </si>
  <si>
    <t>7BC2</t>
  </si>
  <si>
    <t>7BC4</t>
  </si>
  <si>
    <t>C31F</t>
  </si>
  <si>
    <t>7BC6</t>
  </si>
  <si>
    <t>7BC8</t>
  </si>
  <si>
    <t>7BCA</t>
  </si>
  <si>
    <t>7BCC</t>
  </si>
  <si>
    <t>7BCE</t>
  </si>
  <si>
    <t>7BD0</t>
  </si>
  <si>
    <t>7BD2</t>
  </si>
  <si>
    <t>7BD4</t>
  </si>
  <si>
    <t>7BD6</t>
  </si>
  <si>
    <t>7BD8</t>
  </si>
  <si>
    <t>7BDA</t>
  </si>
  <si>
    <t>7BDC</t>
  </si>
  <si>
    <t>7BDE</t>
  </si>
  <si>
    <t>7BE0</t>
  </si>
  <si>
    <t>7BE2</t>
  </si>
  <si>
    <t>7BE4</t>
  </si>
  <si>
    <t>7BE6</t>
  </si>
  <si>
    <t>E31F</t>
  </si>
  <si>
    <t>7BE8</t>
  </si>
  <si>
    <t>7BEA</t>
  </si>
  <si>
    <t>7BEC</t>
  </si>
  <si>
    <t>7BEE</t>
  </si>
  <si>
    <t>231D</t>
  </si>
  <si>
    <t>7BF0</t>
  </si>
  <si>
    <t>7BF2</t>
  </si>
  <si>
    <t>7BF4</t>
  </si>
  <si>
    <t>7BF6</t>
  </si>
  <si>
    <t>7BF8</t>
  </si>
  <si>
    <t>7BFA</t>
  </si>
  <si>
    <t>7BFC</t>
  </si>
  <si>
    <t>7BFE</t>
  </si>
  <si>
    <t>7C00</t>
  </si>
  <si>
    <t>7C02</t>
  </si>
  <si>
    <t>7C04</t>
  </si>
  <si>
    <t>7C06</t>
  </si>
  <si>
    <t>7C08</t>
  </si>
  <si>
    <t>7C0A</t>
  </si>
  <si>
    <t>7C0C</t>
  </si>
  <si>
    <t>7C0E</t>
  </si>
  <si>
    <t>7C10</t>
  </si>
  <si>
    <t>7C12</t>
  </si>
  <si>
    <t>7C14</t>
  </si>
  <si>
    <t>7C16</t>
  </si>
  <si>
    <t>7C18</t>
  </si>
  <si>
    <t>7C1A</t>
  </si>
  <si>
    <t>7C1C</t>
  </si>
  <si>
    <t>7C1E</t>
  </si>
  <si>
    <t>7C20</t>
  </si>
  <si>
    <t>7C22</t>
  </si>
  <si>
    <t>7C24</t>
  </si>
  <si>
    <t>7C26</t>
  </si>
  <si>
    <t>7C28</t>
  </si>
  <si>
    <t>7C2A</t>
  </si>
  <si>
    <t>7C2C</t>
  </si>
  <si>
    <t>7C2E</t>
  </si>
  <si>
    <t>7C30</t>
  </si>
  <si>
    <t>7C32</t>
  </si>
  <si>
    <t>7C34</t>
  </si>
  <si>
    <t>7C36</t>
  </si>
  <si>
    <t>7C38</t>
  </si>
  <si>
    <t>7C3A</t>
  </si>
  <si>
    <t>7C3C</t>
  </si>
  <si>
    <t>7C3E</t>
  </si>
  <si>
    <t>2318</t>
  </si>
  <si>
    <t>7C40</t>
  </si>
  <si>
    <t>7C42</t>
  </si>
  <si>
    <t>7C44</t>
  </si>
  <si>
    <t>7C46</t>
  </si>
  <si>
    <t>7C48</t>
  </si>
  <si>
    <t>7C4A</t>
  </si>
  <si>
    <t>7C4C</t>
  </si>
  <si>
    <t>7C4E</t>
  </si>
  <si>
    <t>7C50</t>
  </si>
  <si>
    <t>7C52</t>
  </si>
  <si>
    <t>7C54</t>
  </si>
  <si>
    <t>7C56</t>
  </si>
  <si>
    <t>9760</t>
  </si>
  <si>
    <t>7C58</t>
  </si>
  <si>
    <t>7C5A</t>
  </si>
  <si>
    <t>7C5C</t>
  </si>
  <si>
    <t>7C5E</t>
  </si>
  <si>
    <t>7C60</t>
  </si>
  <si>
    <t>7C62</t>
  </si>
  <si>
    <t>7C64</t>
  </si>
  <si>
    <t>7C66</t>
  </si>
  <si>
    <t>7C68</t>
  </si>
  <si>
    <t>7C6A</t>
  </si>
  <si>
    <t>7C6C</t>
  </si>
  <si>
    <t>7C6E</t>
  </si>
  <si>
    <t>7C70</t>
  </si>
  <si>
    <t>239A</t>
  </si>
  <si>
    <t>7C72</t>
  </si>
  <si>
    <t>0738</t>
  </si>
  <si>
    <t>7C74</t>
  </si>
  <si>
    <t>7C76</t>
  </si>
  <si>
    <t>7C78</t>
  </si>
  <si>
    <t>7C7A</t>
  </si>
  <si>
    <t>005C</t>
  </si>
  <si>
    <t>028A</t>
  </si>
  <si>
    <t>0292</t>
  </si>
  <si>
    <t>029E</t>
  </si>
  <si>
    <t>02A6</t>
  </si>
  <si>
    <t>02A8</t>
  </si>
  <si>
    <t>02AA</t>
  </si>
  <si>
    <t>02AC</t>
  </si>
  <si>
    <t>032A</t>
  </si>
  <si>
    <t>0636</t>
  </si>
  <si>
    <t>0638</t>
  </si>
  <si>
    <t>063A</t>
  </si>
  <si>
    <t>063C</t>
  </si>
  <si>
    <t>063E</t>
  </si>
  <si>
    <t>0640</t>
  </si>
  <si>
    <t>0642</t>
  </si>
  <si>
    <t>1224</t>
  </si>
  <si>
    <t>1294</t>
  </si>
  <si>
    <t>21B2</t>
  </si>
  <si>
    <t>2204</t>
  </si>
  <si>
    <t>58C6</t>
  </si>
  <si>
    <t>58C8</t>
  </si>
  <si>
    <t>FCFC</t>
    <phoneticPr fontId="2" type="noConversion"/>
  </si>
  <si>
    <t>4000</t>
    <phoneticPr fontId="2" type="noConversion"/>
  </si>
  <si>
    <t>40000322</t>
  </si>
  <si>
    <t>0322</t>
  </si>
  <si>
    <t>400002EE</t>
  </si>
  <si>
    <t>02EE</t>
  </si>
  <si>
    <t>01EC</t>
  </si>
  <si>
    <t>009A</t>
  </si>
  <si>
    <t>009C</t>
  </si>
  <si>
    <t>009E</t>
  </si>
  <si>
    <t>0132</t>
  </si>
  <si>
    <t>0134</t>
  </si>
  <si>
    <t>028E</t>
  </si>
  <si>
    <t>0296</t>
  </si>
  <si>
    <t>0298</t>
  </si>
  <si>
    <t>029A</t>
  </si>
  <si>
    <t>02A2</t>
  </si>
  <si>
    <t>0314</t>
  </si>
  <si>
    <t>0316</t>
  </si>
  <si>
    <t>0318</t>
  </si>
  <si>
    <t>031A</t>
  </si>
  <si>
    <t>031C</t>
  </si>
  <si>
    <t>031E</t>
  </si>
  <si>
    <t>0320</t>
  </si>
  <si>
    <t>0324</t>
  </si>
  <si>
    <t>128A</t>
  </si>
  <si>
    <t>128C</t>
  </si>
  <si>
    <t>128E</t>
  </si>
  <si>
    <t>1290</t>
  </si>
  <si>
    <t>21B8</t>
  </si>
  <si>
    <t>21BA</t>
  </si>
  <si>
    <t>21BC</t>
  </si>
  <si>
    <t>21BE</t>
  </si>
  <si>
    <t>21C0</t>
  </si>
  <si>
    <t>21C6</t>
  </si>
  <si>
    <t>21C8</t>
  </si>
  <si>
    <t>21CA</t>
  </si>
  <si>
    <t>21D0</t>
  </si>
  <si>
    <t>2200</t>
  </si>
  <si>
    <t>2230</t>
  </si>
  <si>
    <t>2232</t>
  </si>
  <si>
    <t>2260</t>
  </si>
  <si>
    <t>2262</t>
  </si>
  <si>
    <t>22CC</t>
  </si>
  <si>
    <t>22CE</t>
  </si>
  <si>
    <t>22D0</t>
  </si>
  <si>
    <t>2316</t>
  </si>
  <si>
    <t>231A</t>
  </si>
  <si>
    <t>231C</t>
  </si>
  <si>
    <t>24002332</t>
  </si>
  <si>
    <t>2332</t>
  </si>
  <si>
    <t>24002334</t>
  </si>
  <si>
    <t>2334</t>
  </si>
  <si>
    <t>24002336</t>
  </si>
  <si>
    <t>2336</t>
  </si>
  <si>
    <t>24002338</t>
  </si>
  <si>
    <t>2338</t>
  </si>
  <si>
    <t>2400233A</t>
  </si>
  <si>
    <t>233A</t>
  </si>
  <si>
    <t>2400233C</t>
  </si>
  <si>
    <t>233C</t>
  </si>
  <si>
    <t>2400233E</t>
  </si>
  <si>
    <t>233E</t>
  </si>
  <si>
    <t>24002340</t>
  </si>
  <si>
    <t>2340</t>
  </si>
  <si>
    <t>24002342</t>
  </si>
  <si>
    <t>2342</t>
  </si>
  <si>
    <t>24002344</t>
  </si>
  <si>
    <t>2344</t>
  </si>
  <si>
    <t>24002346</t>
  </si>
  <si>
    <t>2346</t>
  </si>
  <si>
    <t>24002348</t>
  </si>
  <si>
    <t>2348</t>
  </si>
  <si>
    <t>2400234A</t>
  </si>
  <si>
    <t>234A</t>
  </si>
  <si>
    <t>2400234C</t>
  </si>
  <si>
    <t>234C</t>
  </si>
  <si>
    <t>2400234E</t>
  </si>
  <si>
    <t>234E</t>
  </si>
  <si>
    <t>24002350</t>
  </si>
  <si>
    <t>2350</t>
  </si>
  <si>
    <t>24002352</t>
  </si>
  <si>
    <t>2352</t>
  </si>
  <si>
    <t>24002354</t>
  </si>
  <si>
    <t>2354</t>
  </si>
  <si>
    <t>5734</t>
  </si>
  <si>
    <t>0AD6</t>
  </si>
  <si>
    <t>0C0C</t>
  </si>
  <si>
    <t>032C</t>
  </si>
  <si>
    <t>0A7A</t>
  </si>
  <si>
    <t>0AF2</t>
  </si>
  <si>
    <t>1226</t>
  </si>
  <si>
    <t>2182</t>
  </si>
  <si>
    <t>21B4</t>
  </si>
  <si>
    <t>232E</t>
  </si>
  <si>
    <t>2330</t>
  </si>
  <si>
    <t>2FE0</t>
  </si>
  <si>
    <t>3164</t>
  </si>
  <si>
    <t>TnP / OTP Tnp</t>
    <phoneticPr fontId="2" type="noConversion"/>
  </si>
  <si>
    <t>//$MV4_Start[]</t>
  </si>
  <si>
    <t xml:space="preserve"> </t>
    <phoneticPr fontId="2" type="noConversion"/>
  </si>
  <si>
    <t xml:space="preserve"> // KDS(Sensor ID)</t>
    <phoneticPr fontId="2" type="noConversion"/>
  </si>
  <si>
    <t>99CB</t>
  </si>
  <si>
    <t>C7EB</t>
  </si>
  <si>
    <t>D732</t>
  </si>
  <si>
    <t>C547</t>
  </si>
  <si>
    <t>01A0</t>
  </si>
  <si>
    <t>24002F9A</t>
  </si>
  <si>
    <t>2F9A</t>
  </si>
  <si>
    <t>484F</t>
    <phoneticPr fontId="2" type="noConversion"/>
  </si>
  <si>
    <t>C7C7</t>
  </si>
  <si>
    <t>47B9</t>
  </si>
  <si>
    <t>85C3</t>
  </si>
  <si>
    <t>23A6</t>
  </si>
  <si>
    <t>A7B8</t>
  </si>
  <si>
    <t>C325</t>
  </si>
  <si>
    <t>6322</t>
  </si>
  <si>
    <t>C031</t>
  </si>
  <si>
    <t>2029</t>
  </si>
  <si>
    <t>8322</t>
  </si>
  <si>
    <t>6077</t>
  </si>
  <si>
    <t>8077</t>
  </si>
  <si>
    <t>A016</t>
  </si>
  <si>
    <t>E31A</t>
  </si>
  <si>
    <t>C7B8</t>
  </si>
  <si>
    <t>407A</t>
  </si>
  <si>
    <t>603F</t>
  </si>
  <si>
    <t>E078</t>
  </si>
  <si>
    <t>A316</t>
  </si>
  <si>
    <t>A3FC</t>
  </si>
  <si>
    <t>1783</t>
  </si>
  <si>
    <t>A3FE</t>
  </si>
  <si>
    <t>A400</t>
  </si>
  <si>
    <t>A402</t>
  </si>
  <si>
    <t>E39B</t>
  </si>
  <si>
    <t>A404</t>
  </si>
  <si>
    <t>9770</t>
  </si>
  <si>
    <t>A406</t>
  </si>
  <si>
    <t>A408</t>
  </si>
  <si>
    <t>A40A</t>
  </si>
  <si>
    <t>0089</t>
  </si>
  <si>
    <t>A40C</t>
  </si>
  <si>
    <t>B7A7</t>
  </si>
  <si>
    <t>A40E</t>
  </si>
  <si>
    <t>A410</t>
  </si>
  <si>
    <t>A412</t>
  </si>
  <si>
    <t>4743</t>
  </si>
  <si>
    <t>A414</t>
  </si>
  <si>
    <t>A416</t>
  </si>
  <si>
    <t>A418</t>
  </si>
  <si>
    <t>A41A</t>
  </si>
  <si>
    <t>A41C</t>
  </si>
  <si>
    <t>A41E</t>
  </si>
  <si>
    <t>A420</t>
  </si>
  <si>
    <t>A422</t>
  </si>
  <si>
    <t>A424</t>
  </si>
  <si>
    <t>A426</t>
  </si>
  <si>
    <t>A428</t>
  </si>
  <si>
    <t>A42A</t>
  </si>
  <si>
    <t>A42C</t>
  </si>
  <si>
    <t>A42E</t>
  </si>
  <si>
    <t>A430</t>
  </si>
  <si>
    <t>439B</t>
  </si>
  <si>
    <t>A432</t>
  </si>
  <si>
    <t>A434</t>
  </si>
  <si>
    <t>A436</t>
  </si>
  <si>
    <t>3F70</t>
  </si>
  <si>
    <t>FCA3</t>
  </si>
  <si>
    <t>3F72</t>
  </si>
  <si>
    <t>008C</t>
  </si>
  <si>
    <t>0095</t>
  </si>
  <si>
    <t>0E38</t>
  </si>
  <si>
    <t>13FE</t>
  </si>
  <si>
    <t>F002</t>
  </si>
  <si>
    <t>2D01</t>
  </si>
  <si>
    <t>01_T2_2_Lake_KDS_FDSum_30FPS_3280x2464</t>
  </si>
  <si>
    <t>//$MV4[MCLK:24.0,mipi_phy_type:Dphy,mipi_lane:4,mipi_datarate:1788]</t>
  </si>
  <si>
    <t>0173</t>
    <phoneticPr fontId="2" type="noConversion"/>
  </si>
  <si>
    <t xml:space="preserve"> // OTP page select</t>
    <phoneticPr fontId="2" type="noConversion"/>
  </si>
  <si>
    <t>* Initial Sequence / Mirror+Flip</t>
    <phoneticPr fontId="2" type="noConversion"/>
  </si>
  <si>
    <r>
      <t>01</t>
    </r>
    <r>
      <rPr>
        <sz val="11"/>
        <color rgb="FFFF0000"/>
        <rFont val="Calibri"/>
        <family val="2"/>
      </rPr>
      <t>03</t>
    </r>
    <phoneticPr fontId="2" type="noConversion"/>
  </si>
  <si>
    <t>Utah_M01</t>
    <phoneticPr fontId="2" type="noConversion"/>
  </si>
  <si>
    <t>Utah_M02</t>
    <phoneticPr fontId="2" type="noConversion"/>
  </si>
  <si>
    <t>0268</t>
  </si>
  <si>
    <t>10E7</t>
  </si>
  <si>
    <t>099C</t>
  </si>
  <si>
    <t>//$MV4_MainData[width:3280,height:2460,data_type:MIPI_RAW10 (0x2B),virtual_channel:0]</t>
    <phoneticPr fontId="2" type="noConversion"/>
  </si>
  <si>
    <t>//$MV4_MainData[width:3280,height:1848,data_type:MIPI_RAW10 (0x2B),virtual_channel:0]</t>
    <phoneticPr fontId="2" type="noConversion"/>
  </si>
  <si>
    <t>2025.03.13</t>
    <phoneticPr fontId="2" type="noConversion"/>
  </si>
  <si>
    <t>History</t>
  </si>
  <si>
    <t>0BCC</t>
  </si>
  <si>
    <t>//fast standby</t>
  </si>
  <si>
    <t>2025.03.18</t>
    <phoneticPr fontId="2" type="noConversion"/>
  </si>
  <si>
    <t>&gt; Added global case for "Fast Standby"</t>
    <phoneticPr fontId="2" type="noConversion"/>
  </si>
  <si>
    <t>S5KKDSSP_EVT0_Reference_Setfile_Lenovo_v0.0a</t>
  </si>
  <si>
    <t>S5KKDSSP_EVT0_Reference_Setfile_Lenovo_v0.0b</t>
  </si>
  <si>
    <t>Emily</t>
  </si>
  <si>
    <r>
      <t xml:space="preserve">&gt; Added modes for Lenovo (24Mhz)
</t>
    </r>
    <r>
      <rPr>
        <sz val="11"/>
        <rFont val="Calibri"/>
        <family val="2"/>
      </rPr>
      <t xml:space="preserve">   - 4sum 3280x2460 30fps 1788Mbps PDAF Off
   - 4sum 3280x1848 30fps 1788Mbps PDAF Off</t>
    </r>
  </si>
  <si>
    <t>S5KKDSSP_EVT0_Reference_Setfile_Lenovo_v0.0c</t>
  </si>
  <si>
    <t>2025.04.11</t>
  </si>
  <si>
    <t>&gt; Added 3 modes for Nevada</t>
  </si>
  <si>
    <t>Nevada_M01</t>
    <phoneticPr fontId="2" type="noConversion"/>
  </si>
  <si>
    <t>Nevada_M02</t>
    <phoneticPr fontId="2" type="noConversion"/>
  </si>
  <si>
    <t>Nevada_M03</t>
    <phoneticPr fontId="2" type="noConversion"/>
  </si>
  <si>
    <t>4sum2bin</t>
    <phoneticPr fontId="2" type="noConversion"/>
  </si>
  <si>
    <t>02D0</t>
  </si>
  <si>
    <t>16DF</t>
  </si>
  <si>
    <t>03F8</t>
  </si>
  <si>
    <t>0F57</t>
  </si>
  <si>
    <t>0500</t>
  </si>
  <si>
    <t>0124</t>
  </si>
  <si>
    <t>2000</t>
  </si>
  <si>
    <t>0E90</t>
  </si>
  <si>
    <t>04E2</t>
  </si>
  <si>
    <t>0301</t>
  </si>
  <si>
    <t>3000</t>
    <phoneticPr fontId="2" type="noConversion"/>
  </si>
  <si>
    <t>0102</t>
  </si>
  <si>
    <t>0A01</t>
    <phoneticPr fontId="2" type="noConversion"/>
  </si>
  <si>
    <t>0401</t>
  </si>
  <si>
    <t>0003</t>
  </si>
  <si>
    <t>0203</t>
  </si>
  <si>
    <t>9500</t>
  </si>
  <si>
    <t>FF00</t>
  </si>
  <si>
    <t>8800</t>
  </si>
  <si>
    <t>4F00</t>
  </si>
  <si>
    <t>5CF4</t>
  </si>
  <si>
    <t>1812</t>
  </si>
  <si>
    <t>1808</t>
  </si>
  <si>
    <t>1811</t>
  </si>
  <si>
    <t>1817</t>
  </si>
  <si>
    <t>181F</t>
  </si>
  <si>
    <t>C001</t>
  </si>
  <si>
    <t>EF02</t>
  </si>
  <si>
    <t>089D</t>
  </si>
  <si>
    <t>04_T4_5_Shine_O12_KDS_A2D2_120FPS_1640x928</t>
  </si>
  <si>
    <t>//$MV4[MCLK:24.0,mipi_phy_type:Dphy,mipi_lane:4,mipi_datarate:1788]</t>
    <phoneticPr fontId="2" type="noConversion"/>
  </si>
  <si>
    <t>//$MV4_MainData[width:1280,height:720,data_type:MIPI_RAW10 (0x2B),virtual_channel:0]</t>
    <phoneticPr fontId="2" type="noConversion"/>
  </si>
  <si>
    <t>//$MV4_InterleavedData[isUsed:1,width:510,height:1840,data_type:User_Defined_1 (0x30),virtual_channel:1]</t>
    <phoneticPr fontId="2" type="noConversion"/>
  </si>
  <si>
    <t>//$MV4_InterleavedData[isUsed:1,width:510,height:2448,data_type:User_Defined_1 (0x30),virtual_channel:1]</t>
    <phoneticPr fontId="2" type="noConversion"/>
  </si>
  <si>
    <t>VC1 0x30) 408 x 1840</t>
  </si>
  <si>
    <t>VC1 0x30) 408 x 2448</t>
  </si>
  <si>
    <t>S5KKDSSP_EVT0_Reference_Setfile_Lenovo_v0.0c1</t>
  </si>
  <si>
    <t>2025.04.30</t>
  </si>
  <si>
    <t>&gt; modify the tail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</si>
</sst>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  &quot;@"/>
  </numFmts>
  <fonts count="8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ＭＳ Ｐゴシック"/>
      <family val="2"/>
      <charset val="128"/>
    </font>
    <font>
      <u/>
      <sz val="11"/>
      <color theme="1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Times New Roman"/>
      <family val="1"/>
      <charset val="177"/>
    </font>
    <font>
      <b/>
      <sz val="11"/>
      <color rgb="FF0070C0"/>
      <name val="Book Antiqua"/>
      <family val="1"/>
    </font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1"/>
      <name val="ＭＳ Ｐゴシック"/>
      <family val="2"/>
    </font>
    <font>
      <sz val="11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30"/>
      <name val="Book Antiqua"/>
      <family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ok Antiqu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2"/>
    </font>
    <font>
      <sz val="16"/>
      <color theme="1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sz val="16"/>
      <color rgb="FF0070C0"/>
      <name val="Calibri"/>
      <family val="3"/>
      <charset val="129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174">
    <xf numFmtId="0" fontId="0" fillId="0" borderId="0">
      <alignment vertical="center"/>
    </xf>
    <xf numFmtId="0" fontId="8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2" fontId="17" fillId="6" borderId="2" applyNumberFormat="0" applyFill="0" applyBorder="0">
      <alignment horizontal="center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" applyNumberFormat="0" applyFont="0" applyAlignment="0" applyProtection="0"/>
    <xf numFmtId="0" fontId="8" fillId="8" borderId="3" applyNumberFormat="0" applyFont="0" applyAlignment="0" applyProtection="0"/>
    <xf numFmtId="0" fontId="18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1" fillId="0" borderId="0"/>
    <xf numFmtId="0" fontId="13" fillId="0" borderId="0">
      <alignment vertical="center"/>
    </xf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13" fillId="0" borderId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42" fillId="32" borderId="0" applyNumberFormat="0" applyBorder="0" applyAlignment="0" applyProtection="0"/>
    <xf numFmtId="0" fontId="1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4" borderId="0" applyNumberFormat="0" applyBorder="0" applyAlignment="0" applyProtection="0"/>
    <xf numFmtId="0" fontId="1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6" borderId="0" applyNumberFormat="0" applyBorder="0" applyAlignment="0" applyProtection="0"/>
    <xf numFmtId="0" fontId="1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0" borderId="0" applyNumberFormat="0" applyBorder="0" applyAlignment="0" applyProtection="0"/>
    <xf numFmtId="0" fontId="12" fillId="26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2" borderId="0" applyNumberFormat="0" applyBorder="0" applyAlignment="0" applyProtection="0"/>
    <xf numFmtId="0" fontId="12" fillId="3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/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/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41" borderId="0" applyNumberFormat="0" applyBorder="0" applyAlignment="0" applyProtection="0"/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42" fillId="44" borderId="0" applyNumberFormat="0" applyBorder="0" applyAlignment="0" applyProtection="0"/>
    <xf numFmtId="0" fontId="12" fillId="1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6" borderId="0" applyNumberFormat="0" applyBorder="0" applyAlignment="0" applyProtection="0"/>
    <xf numFmtId="0" fontId="12" fillId="20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8" borderId="0" applyNumberFormat="0" applyBorder="0" applyAlignment="0" applyProtection="0"/>
    <xf numFmtId="0" fontId="1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24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4" borderId="0" applyNumberFormat="0" applyBorder="0" applyAlignment="0" applyProtection="0"/>
    <xf numFmtId="0" fontId="12" fillId="2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50" borderId="0" applyNumberFormat="0" applyBorder="0" applyAlignment="0" applyProtection="0"/>
    <xf numFmtId="0" fontId="12" fillId="31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43" fillId="52" borderId="0" applyNumberFormat="0" applyBorder="0" applyAlignment="0" applyProtection="0"/>
    <xf numFmtId="0" fontId="60" fillId="18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46" borderId="0" applyNumberFormat="0" applyBorder="0" applyAlignment="0" applyProtection="0"/>
    <xf numFmtId="0" fontId="60" fillId="21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8" borderId="0" applyNumberFormat="0" applyBorder="0" applyAlignment="0" applyProtection="0"/>
    <xf numFmtId="0" fontId="60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8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8" borderId="0" applyNumberFormat="0" applyBorder="0" applyAlignment="0" applyProtection="0"/>
    <xf numFmtId="0" fontId="60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25" fillId="53" borderId="0" applyNumberFormat="0" applyBorder="0" applyAlignment="0" applyProtection="0"/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25" fillId="47" borderId="0" applyNumberFormat="0" applyBorder="0" applyAlignment="0" applyProtection="0"/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/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/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43" fillId="60" borderId="0" applyNumberFormat="0" applyBorder="0" applyAlignment="0" applyProtection="0"/>
    <xf numFmtId="0" fontId="60" fillId="16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2" borderId="0" applyNumberFormat="0" applyBorder="0" applyAlignment="0" applyProtection="0"/>
    <xf numFmtId="0" fontId="60" fillId="19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4" borderId="0" applyNumberFormat="0" applyBorder="0" applyAlignment="0" applyProtection="0"/>
    <xf numFmtId="0" fontId="60" fillId="22" borderId="0" applyNumberFormat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23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66" borderId="0" applyNumberFormat="0" applyBorder="0" applyAlignment="0" applyProtection="0"/>
    <xf numFmtId="0" fontId="60" fillId="29" borderId="0" applyNumberFormat="0" applyBorder="0" applyAlignment="0" applyProtection="0"/>
    <xf numFmtId="0" fontId="43" fillId="66" borderId="0" applyNumberFormat="0" applyBorder="0" applyAlignment="0" applyProtection="0"/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4" fillId="34" borderId="0" applyNumberFormat="0" applyBorder="0" applyAlignment="0" applyProtection="0"/>
    <xf numFmtId="0" fontId="61" fillId="1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2" fontId="45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62" fillId="6" borderId="2" applyNumberFormat="0" applyAlignment="0" applyProtection="0"/>
    <xf numFmtId="2" fontId="45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6" fillId="69" borderId="27" applyNumberFormat="0" applyAlignment="0" applyProtection="0"/>
    <xf numFmtId="0" fontId="63" fillId="15" borderId="24" applyNumberFormat="0" applyAlignment="0" applyProtection="0"/>
    <xf numFmtId="0" fontId="46" fillId="69" borderId="27" applyNumberFormat="0" applyAlignment="0" applyProtection="0"/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6" borderId="0" applyNumberFormat="0" applyBorder="0" applyAlignment="0" applyProtection="0"/>
    <xf numFmtId="0" fontId="65" fillId="11" borderId="0" applyNumberFormat="0" applyBorder="0" applyAlignment="0" applyProtection="0"/>
    <xf numFmtId="0" fontId="48" fillId="36" borderId="0" applyNumberFormat="0" applyBorder="0" applyAlignment="0" applyProtection="0"/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9" fillId="0" borderId="28" applyNumberFormat="0" applyFill="0" applyAlignment="0" applyProtection="0"/>
    <xf numFmtId="0" fontId="66" fillId="0" borderId="19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50" fillId="0" borderId="29" applyNumberFormat="0" applyFill="0" applyAlignment="0" applyProtection="0"/>
    <xf numFmtId="0" fontId="67" fillId="0" borderId="20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1" fillId="0" borderId="30" applyNumberFormat="0" applyFill="0" applyAlignment="0" applyProtection="0"/>
    <xf numFmtId="0" fontId="68" fillId="0" borderId="21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42" borderId="26" applyNumberFormat="0" applyAlignment="0" applyProtection="0"/>
    <xf numFmtId="0" fontId="69" fillId="14" borderId="2" applyNumberFormat="0" applyAlignment="0" applyProtection="0"/>
    <xf numFmtId="0" fontId="52" fillId="42" borderId="26" applyNumberFormat="0" applyAlignment="0" applyProtection="0"/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3" fillId="0" borderId="31" applyNumberFormat="0" applyFill="0" applyAlignment="0" applyProtection="0"/>
    <xf numFmtId="0" fontId="70" fillId="0" borderId="23" applyNumberFormat="0" applyFill="0" applyAlignment="0" applyProtection="0"/>
    <xf numFmtId="0" fontId="53" fillId="0" borderId="31" applyNumberFormat="0" applyFill="0" applyAlignment="0" applyProtection="0"/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4" fillId="71" borderId="0" applyNumberFormat="0" applyBorder="0" applyAlignment="0" applyProtection="0"/>
    <xf numFmtId="0" fontId="71" fillId="13" borderId="0" applyNumberFormat="0" applyBorder="0" applyAlignment="0" applyProtection="0"/>
    <xf numFmtId="0" fontId="54" fillId="71" borderId="0" applyNumberFormat="0" applyBorder="0" applyAlignment="0" applyProtection="0"/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24" fillId="9" borderId="6" applyNumberFormat="0" applyFont="0" applyAlignment="0" applyProtection="0"/>
    <xf numFmtId="0" fontId="24" fillId="9" borderId="6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55" fillId="68" borderId="33" applyNumberFormat="0" applyAlignment="0" applyProtection="0"/>
    <xf numFmtId="0" fontId="72" fillId="6" borderId="22" applyNumberFormat="0" applyAlignment="0" applyProtection="0"/>
    <xf numFmtId="0" fontId="55" fillId="68" borderId="33" applyNumberFormat="0" applyAlignment="0" applyProtection="0"/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34" applyNumberFormat="0" applyFill="0" applyAlignment="0" applyProtection="0"/>
    <xf numFmtId="0" fontId="15" fillId="0" borderId="25" applyNumberFormat="0" applyFill="0" applyAlignment="0" applyProtection="0"/>
    <xf numFmtId="0" fontId="57" fillId="0" borderId="34" applyNumberFormat="0" applyFill="0" applyAlignment="0" applyProtection="0"/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25" fillId="61" borderId="0" applyNumberFormat="0" applyBorder="0" applyAlignment="0" applyProtection="0"/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43" fillId="63" borderId="0" applyNumberFormat="0" applyAlignment="0" applyProtection="0"/>
    <xf numFmtId="0" fontId="25" fillId="63" borderId="0" applyNumberFormat="0" applyBorder="0" applyAlignment="0" applyProtection="0"/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25" fillId="65" borderId="0" applyNumberFormat="0" applyBorder="0" applyAlignment="0" applyProtection="0"/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25" fillId="67" borderId="0" applyNumberFormat="0" applyBorder="0" applyAlignment="0" applyProtection="0"/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62" fillId="6" borderId="2" applyNumberFormat="0" applyAlignment="0" applyProtection="0">
      <alignment vertical="center"/>
    </xf>
    <xf numFmtId="0" fontId="27" fillId="74" borderId="26" applyNumberFormat="0" applyAlignment="0" applyProtection="0"/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/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59" fillId="73" borderId="32" applyNumberFormat="0" applyAlignment="0" applyProtection="0"/>
    <xf numFmtId="0" fontId="59" fillId="73" borderId="32" applyNumberFormat="0" applyAlignment="0" applyProtection="0"/>
    <xf numFmtId="0" fontId="59" fillId="73" borderId="32" applyNumberFormat="0" applyAlignment="0" applyProtection="0"/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29" fillId="72" borderId="0" applyNumberFormat="0" applyBorder="0" applyAlignment="0" applyProtection="0"/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63" fillId="15" borderId="24" applyNumberFormat="0" applyAlignment="0" applyProtection="0">
      <alignment vertical="center"/>
    </xf>
    <xf numFmtId="0" fontId="31" fillId="70" borderId="27" applyNumberFormat="0" applyAlignment="0" applyProtection="0"/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70" fillId="0" borderId="23" applyNumberFormat="0" applyFill="0" applyAlignment="0" applyProtection="0">
      <alignment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33" fillId="0" borderId="34" applyNumberFormat="0" applyFill="0" applyAlignment="0" applyProtection="0"/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69" fillId="14" borderId="2" applyNumberFormat="0" applyAlignment="0" applyProtection="0">
      <alignment vertical="center"/>
    </xf>
    <xf numFmtId="0" fontId="34" fillId="43" borderId="26" applyNumberFormat="0" applyAlignment="0" applyProtection="0"/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37" fillId="0" borderId="29" applyNumberFormat="0" applyFill="0" applyAlignment="0" applyProtection="0"/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38" fillId="0" borderId="30" applyNumberFormat="0" applyFill="0" applyAlignment="0" applyProtection="0"/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/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72" fillId="6" borderId="22" applyNumberFormat="0" applyAlignment="0" applyProtection="0">
      <alignment vertical="center"/>
    </xf>
    <xf numFmtId="0" fontId="40" fillId="74" borderId="33" applyNumberFormat="0" applyAlignment="0" applyProtection="0"/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5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9" fillId="0" borderId="0"/>
    <xf numFmtId="0" fontId="59" fillId="0" borderId="0"/>
    <xf numFmtId="0" fontId="21" fillId="0" borderId="0"/>
    <xf numFmtId="0" fontId="21" fillId="0" borderId="0"/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212">
    <xf numFmtId="0" fontId="0" fillId="0" borderId="0" xfId="0">
      <alignment vertical="center"/>
    </xf>
    <xf numFmtId="0" fontId="0" fillId="0" borderId="0" xfId="0">
      <alignment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10" xfId="0" applyNumberFormat="1" applyFont="1" applyBorder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75" borderId="10" xfId="0" applyFont="1" applyFill="1" applyBorder="1" applyAlignment="1">
      <alignment horizontal="center" vertical="center"/>
    </xf>
    <xf numFmtId="0" fontId="5" fillId="75" borderId="11" xfId="0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right" vertical="center"/>
    </xf>
    <xf numFmtId="0" fontId="3" fillId="0" borderId="35" xfId="0" applyNumberFormat="1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 shrinkToFit="1"/>
    </xf>
    <xf numFmtId="2" fontId="79" fillId="0" borderId="10" xfId="0" applyNumberFormat="1" applyFont="1" applyBorder="1" applyAlignment="1">
      <alignment horizontal="right" vertical="center"/>
    </xf>
    <xf numFmtId="0" fontId="82" fillId="78" borderId="10" xfId="0" applyFont="1" applyFill="1" applyBorder="1" applyAlignment="1">
      <alignment horizontal="center" vertical="center"/>
    </xf>
    <xf numFmtId="49" fontId="79" fillId="0" borderId="0" xfId="0" quotePrefix="1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0" fillId="7" borderId="0" xfId="0" applyFill="1" applyAlignment="1">
      <alignment vertical="center" shrinkToFi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center" shrinkToFit="1"/>
    </xf>
    <xf numFmtId="2" fontId="3" fillId="0" borderId="7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7" xfId="18" quotePrefix="1" applyNumberFormat="1" applyFont="1" applyFill="1" applyBorder="1" applyAlignment="1">
      <alignment horizontal="center" vertical="center" wrapText="1"/>
    </xf>
    <xf numFmtId="49" fontId="3" fillId="0" borderId="10" xfId="0" quotePrefix="1" applyNumberFormat="1" applyFont="1" applyFill="1" applyBorder="1" applyAlignment="1">
      <alignment horizontal="center" vertical="center"/>
    </xf>
    <xf numFmtId="49" fontId="3" fillId="0" borderId="11" xfId="18" quotePrefix="1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35" xfId="0" quotePrefix="1" applyNumberFormat="1" applyFont="1" applyFill="1" applyBorder="1" applyAlignment="1">
      <alignment horizontal="center" vertical="center"/>
    </xf>
    <xf numFmtId="49" fontId="3" fillId="0" borderId="36" xfId="18" quotePrefix="1" applyNumberFormat="1" applyFont="1" applyFill="1" applyBorder="1" applyAlignment="1">
      <alignment horizontal="center" vertical="center" wrapText="1"/>
    </xf>
    <xf numFmtId="49" fontId="79" fillId="0" borderId="10" xfId="0" quotePrefix="1" applyNumberFormat="1" applyFont="1" applyFill="1" applyBorder="1" applyAlignment="1">
      <alignment horizontal="center" vertical="center"/>
    </xf>
    <xf numFmtId="49" fontId="79" fillId="0" borderId="11" xfId="0" quotePrefix="1" applyNumberFormat="1" applyFont="1" applyFill="1" applyBorder="1" applyAlignment="1">
      <alignment horizontal="center" vertical="center"/>
    </xf>
    <xf numFmtId="49" fontId="79" fillId="0" borderId="11" xfId="18" quotePrefix="1" applyNumberFormat="1" applyFont="1" applyFill="1" applyBorder="1" applyAlignment="1">
      <alignment horizontal="center" vertical="center" wrapText="1"/>
    </xf>
    <xf numFmtId="49" fontId="79" fillId="0" borderId="35" xfId="0" quotePrefix="1" applyNumberFormat="1" applyFont="1" applyFill="1" applyBorder="1" applyAlignment="1">
      <alignment horizontal="center" vertical="center"/>
    </xf>
    <xf numFmtId="49" fontId="79" fillId="0" borderId="38" xfId="0" quotePrefix="1" applyNumberFormat="1" applyFont="1" applyFill="1" applyBorder="1" applyAlignment="1">
      <alignment horizontal="center" vertical="center"/>
    </xf>
    <xf numFmtId="49" fontId="79" fillId="0" borderId="36" xfId="0" quotePrefix="1" applyNumberFormat="1" applyFont="1" applyFill="1" applyBorder="1" applyAlignment="1">
      <alignment horizontal="center" vertical="center"/>
    </xf>
    <xf numFmtId="49" fontId="79" fillId="0" borderId="10" xfId="0" applyNumberFormat="1" applyFont="1" applyFill="1" applyBorder="1" applyAlignment="1">
      <alignment horizontal="center" vertical="center"/>
    </xf>
    <xf numFmtId="49" fontId="79" fillId="0" borderId="8" xfId="0" applyNumberFormat="1" applyFont="1" applyFill="1" applyBorder="1" applyAlignment="1">
      <alignment horizontal="center" vertical="center"/>
    </xf>
    <xf numFmtId="49" fontId="79" fillId="0" borderId="7" xfId="18" quotePrefix="1" applyNumberFormat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49" fontId="3" fillId="0" borderId="10" xfId="19" quotePrefix="1" applyNumberFormat="1" applyFont="1" applyFill="1" applyBorder="1" applyAlignment="1">
      <alignment horizontal="center" vertical="center"/>
    </xf>
    <xf numFmtId="0" fontId="75" fillId="0" borderId="11" xfId="0" quotePrefix="1" applyFont="1" applyFill="1" applyBorder="1" applyAlignment="1">
      <alignment horizontal="center" vertical="center"/>
    </xf>
    <xf numFmtId="0" fontId="3" fillId="0" borderId="35" xfId="0" quotePrefix="1" applyFont="1" applyFill="1" applyBorder="1" applyAlignment="1">
      <alignment horizontal="center" vertical="center"/>
    </xf>
    <xf numFmtId="0" fontId="3" fillId="0" borderId="36" xfId="0" quotePrefix="1" applyFont="1" applyFill="1" applyBorder="1" applyAlignment="1">
      <alignment horizontal="center" vertical="center"/>
    </xf>
    <xf numFmtId="49" fontId="3" fillId="4" borderId="35" xfId="0" quotePrefix="1" applyNumberFormat="1" applyFont="1" applyFill="1" applyBorder="1" applyAlignment="1">
      <alignment horizontal="center" vertical="center"/>
    </xf>
    <xf numFmtId="49" fontId="3" fillId="4" borderId="36" xfId="0" quotePrefix="1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38" xfId="0" quotePrefix="1" applyNumberFormat="1" applyFont="1" applyFill="1" applyBorder="1" applyAlignment="1">
      <alignment horizontal="center" vertical="center"/>
    </xf>
    <xf numFmtId="49" fontId="79" fillId="0" borderId="0" xfId="0" applyNumberFormat="1" applyFont="1" applyFill="1" applyBorder="1" applyAlignment="1">
      <alignment horizontal="center" vertical="center"/>
    </xf>
    <xf numFmtId="49" fontId="79" fillId="0" borderId="9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0" fontId="84" fillId="0" borderId="0" xfId="0" applyFont="1" applyFill="1">
      <alignment vertical="center"/>
    </xf>
    <xf numFmtId="0" fontId="6" fillId="0" borderId="0" xfId="0" applyFont="1" applyBorder="1" applyAlignment="1">
      <alignment horizontal="left" vertical="center"/>
    </xf>
    <xf numFmtId="49" fontId="79" fillId="0" borderId="10" xfId="19" applyNumberFormat="1" applyFont="1" applyFill="1" applyBorder="1" applyAlignment="1">
      <alignment horizontal="center" vertical="center" wrapText="1"/>
    </xf>
    <xf numFmtId="49" fontId="79" fillId="0" borderId="11" xfId="19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0" borderId="35" xfId="0" applyNumberFormat="1" applyFont="1" applyFill="1" applyBorder="1" applyAlignment="1">
      <alignment horizontal="center" vertical="center"/>
    </xf>
    <xf numFmtId="49" fontId="3" fillId="0" borderId="38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49" fontId="3" fillId="0" borderId="36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7" fillId="75" borderId="35" xfId="0" applyFont="1" applyFill="1" applyBorder="1" applyAlignment="1">
      <alignment horizontal="center" vertical="center"/>
    </xf>
    <xf numFmtId="0" fontId="87" fillId="75" borderId="36" xfId="0" applyFont="1" applyFill="1" applyBorder="1" applyAlignment="1">
      <alignment horizontal="center" vertical="center"/>
    </xf>
    <xf numFmtId="0" fontId="87" fillId="10" borderId="35" xfId="0" applyFont="1" applyFill="1" applyBorder="1" applyAlignment="1">
      <alignment horizontal="center" vertical="center"/>
    </xf>
    <xf numFmtId="0" fontId="87" fillId="10" borderId="36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38" xfId="0" quotePrefix="1" applyFont="1" applyBorder="1" applyAlignment="1">
      <alignment horizontal="center" vertical="center"/>
    </xf>
    <xf numFmtId="0" fontId="79" fillId="0" borderId="0" xfId="0" quotePrefix="1" applyFont="1" applyAlignment="1">
      <alignment horizontal="center" vertical="center"/>
    </xf>
    <xf numFmtId="0" fontId="79" fillId="0" borderId="38" xfId="0" quotePrefix="1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79" fillId="0" borderId="9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Fill="1" applyBorder="1" applyAlignment="1">
      <alignment horizontal="center" vertical="center"/>
    </xf>
    <xf numFmtId="49" fontId="79" fillId="0" borderId="7" xfId="0" quotePrefix="1" applyNumberFormat="1" applyFont="1" applyFill="1" applyBorder="1" applyAlignment="1">
      <alignment horizontal="center" vertical="center"/>
    </xf>
    <xf numFmtId="0" fontId="84" fillId="0" borderId="0" xfId="0" quotePrefix="1" applyFont="1" applyFill="1">
      <alignment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3" fillId="81" borderId="36" xfId="0" quotePrefix="1" applyFont="1" applyFill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165" fontId="10" fillId="75" borderId="37" xfId="0" applyNumberFormat="1" applyFont="1" applyFill="1" applyBorder="1" applyAlignment="1">
      <alignment horizontal="left" vertical="center" shrinkToFit="1"/>
    </xf>
    <xf numFmtId="0" fontId="10" fillId="75" borderId="37" xfId="0" quotePrefix="1" applyFont="1" applyFill="1" applyBorder="1" applyAlignment="1">
      <alignment horizontal="center" vertical="center"/>
    </xf>
    <xf numFmtId="0" fontId="10" fillId="75" borderId="37" xfId="0" applyFont="1" applyFill="1" applyBorder="1" applyAlignment="1">
      <alignment vertical="center" wrapText="1"/>
    </xf>
    <xf numFmtId="0" fontId="10" fillId="75" borderId="37" xfId="0" applyFont="1" applyFill="1" applyBorder="1" applyAlignment="1">
      <alignment horizontal="center" vertical="center" wrapText="1"/>
    </xf>
    <xf numFmtId="0" fontId="10" fillId="75" borderId="37" xfId="0" quotePrefix="1" applyFont="1" applyFill="1" applyBorder="1" applyAlignment="1">
      <alignment horizontal="center" vertical="center" wrapText="1"/>
    </xf>
    <xf numFmtId="165" fontId="10" fillId="0" borderId="37" xfId="0" applyNumberFormat="1" applyFont="1" applyFill="1" applyBorder="1" applyAlignment="1">
      <alignment horizontal="left" vertical="center" shrinkToFit="1"/>
    </xf>
    <xf numFmtId="0" fontId="10" fillId="0" borderId="37" xfId="0" quotePrefix="1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7" xfId="0" quotePrefix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49" fontId="3" fillId="0" borderId="10" xfId="0" quotePrefix="1" applyNumberFormat="1" applyFont="1" applyBorder="1" applyAlignment="1">
      <alignment horizontal="center" vertical="center"/>
    </xf>
    <xf numFmtId="49" fontId="3" fillId="0" borderId="11" xfId="18" quotePrefix="1" applyNumberFormat="1" applyFont="1" applyBorder="1" applyAlignment="1">
      <alignment horizontal="center" vertical="center" wrapText="1"/>
    </xf>
    <xf numFmtId="49" fontId="79" fillId="0" borderId="10" xfId="0" quotePrefix="1" applyNumberFormat="1" applyFont="1" applyBorder="1" applyAlignment="1">
      <alignment horizontal="center" vertical="center"/>
    </xf>
    <xf numFmtId="49" fontId="79" fillId="0" borderId="11" xfId="0" quotePrefix="1" applyNumberFormat="1" applyFont="1" applyBorder="1" applyAlignment="1">
      <alignment horizontal="center" vertical="center"/>
    </xf>
    <xf numFmtId="49" fontId="79" fillId="0" borderId="11" xfId="18" quotePrefix="1" applyNumberFormat="1" applyFont="1" applyBorder="1" applyAlignment="1">
      <alignment horizontal="center" vertical="center" wrapText="1"/>
    </xf>
    <xf numFmtId="49" fontId="79" fillId="0" borderId="35" xfId="0" quotePrefix="1" applyNumberFormat="1" applyFont="1" applyBorder="1" applyAlignment="1">
      <alignment horizontal="center" vertical="center"/>
    </xf>
    <xf numFmtId="49" fontId="79" fillId="0" borderId="36" xfId="0" quotePrefix="1" applyNumberFormat="1" applyFont="1" applyBorder="1" applyAlignment="1">
      <alignment horizontal="center" vertical="center"/>
    </xf>
    <xf numFmtId="49" fontId="79" fillId="0" borderId="10" xfId="0" applyNumberFormat="1" applyFont="1" applyBorder="1" applyAlignment="1">
      <alignment horizontal="center" vertical="center"/>
    </xf>
    <xf numFmtId="49" fontId="79" fillId="0" borderId="8" xfId="0" applyNumberFormat="1" applyFont="1" applyBorder="1" applyAlignment="1">
      <alignment horizontal="center" vertical="center"/>
    </xf>
    <xf numFmtId="49" fontId="79" fillId="0" borderId="7" xfId="18" quotePrefix="1" applyNumberFormat="1" applyFont="1" applyBorder="1" applyAlignment="1">
      <alignment horizontal="center" vertical="center" wrapText="1"/>
    </xf>
    <xf numFmtId="49" fontId="79" fillId="77" borderId="11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Border="1" applyAlignment="1">
      <alignment horizontal="center" vertical="center"/>
    </xf>
    <xf numFmtId="49" fontId="79" fillId="0" borderId="7" xfId="0" quotePrefix="1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81" fillId="3" borderId="8" xfId="0" applyFont="1" applyFill="1" applyBorder="1" applyAlignment="1">
      <alignment horizontal="center" vertical="center"/>
    </xf>
    <xf numFmtId="0" fontId="81" fillId="3" borderId="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6" fillId="77" borderId="0" xfId="0" applyFont="1" applyFill="1" applyBorder="1" applyAlignment="1">
      <alignment horizontal="left" vertical="center" wrapText="1"/>
    </xf>
    <xf numFmtId="0" fontId="76" fillId="77" borderId="0" xfId="0" applyFont="1" applyFill="1" applyBorder="1" applyAlignment="1">
      <alignment horizontal="left" vertical="center"/>
    </xf>
    <xf numFmtId="49" fontId="79" fillId="79" borderId="10" xfId="19" applyNumberFormat="1" applyFont="1" applyFill="1" applyBorder="1" applyAlignment="1">
      <alignment horizontal="center" vertical="center" wrapText="1"/>
    </xf>
    <xf numFmtId="49" fontId="75" fillId="79" borderId="11" xfId="19" applyNumberFormat="1" applyFont="1" applyFill="1" applyBorder="1" applyAlignment="1">
      <alignment horizontal="center" vertical="center" wrapText="1"/>
    </xf>
    <xf numFmtId="0" fontId="88" fillId="76" borderId="8" xfId="0" applyFont="1" applyFill="1" applyBorder="1" applyAlignment="1">
      <alignment horizontal="center" vertical="center"/>
    </xf>
    <xf numFmtId="0" fontId="88" fillId="76" borderId="7" xfId="0" applyFont="1" applyFill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/>
    </xf>
    <xf numFmtId="0" fontId="86" fillId="3" borderId="7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right" vertical="center"/>
    </xf>
    <xf numFmtId="0" fontId="5" fillId="3" borderId="38" xfId="0" applyFont="1" applyFill="1" applyBorder="1" applyAlignment="1">
      <alignment horizontal="right" vertical="center"/>
    </xf>
    <xf numFmtId="0" fontId="85" fillId="0" borderId="46" xfId="0" applyFont="1" applyBorder="1" applyAlignment="1">
      <alignment horizontal="center" vertical="center" shrinkToFit="1"/>
    </xf>
    <xf numFmtId="0" fontId="85" fillId="0" borderId="47" xfId="0" applyFont="1" applyBorder="1" applyAlignment="1">
      <alignment horizontal="center" vertical="center" shrinkToFit="1"/>
    </xf>
    <xf numFmtId="0" fontId="85" fillId="0" borderId="0" xfId="0" applyFont="1" applyBorder="1" applyAlignment="1">
      <alignment horizontal="center" vertical="center" shrinkToFit="1"/>
    </xf>
    <xf numFmtId="0" fontId="85" fillId="0" borderId="48" xfId="0" applyFont="1" applyBorder="1" applyAlignment="1">
      <alignment horizontal="center" vertical="center" shrinkToFit="1"/>
    </xf>
    <xf numFmtId="0" fontId="85" fillId="0" borderId="50" xfId="0" applyFont="1" applyBorder="1" applyAlignment="1">
      <alignment horizontal="center" vertical="center" shrinkToFit="1"/>
    </xf>
    <xf numFmtId="0" fontId="85" fillId="0" borderId="51" xfId="0" applyFont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80" borderId="8" xfId="0" applyFont="1" applyFill="1" applyBorder="1" applyAlignment="1">
      <alignment horizontal="center" vertical="center" wrapText="1" shrinkToFit="1"/>
    </xf>
    <xf numFmtId="0" fontId="5" fillId="80" borderId="7" xfId="0" applyFont="1" applyFill="1" applyBorder="1" applyAlignment="1">
      <alignment horizontal="center" vertical="center" wrapText="1" shrinkToFit="1"/>
    </xf>
    <xf numFmtId="0" fontId="80" fillId="80" borderId="42" xfId="0" applyFont="1" applyFill="1" applyBorder="1" applyAlignment="1">
      <alignment horizontal="center" vertical="top" wrapText="1" shrinkToFit="1"/>
    </xf>
    <xf numFmtId="0" fontId="80" fillId="80" borderId="5" xfId="0" applyFont="1" applyFill="1" applyBorder="1" applyAlignment="1">
      <alignment horizontal="center" vertical="top" wrapText="1" shrinkToFit="1"/>
    </xf>
    <xf numFmtId="0" fontId="79" fillId="80" borderId="43" xfId="0" applyFont="1" applyFill="1" applyBorder="1" applyAlignment="1">
      <alignment horizontal="center" vertical="top" wrapText="1" shrinkToFit="1"/>
    </xf>
    <xf numFmtId="0" fontId="79" fillId="80" borderId="44" xfId="0" applyFont="1" applyFill="1" applyBorder="1" applyAlignment="1">
      <alignment horizontal="center" vertical="top" wrapText="1" shrinkToFit="1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82" fillId="78" borderId="10" xfId="0" applyFont="1" applyFill="1" applyBorder="1" applyAlignment="1">
      <alignment horizontal="righ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 shrinkToFit="1"/>
    </xf>
    <xf numFmtId="0" fontId="5" fillId="3" borderId="0" xfId="0" applyFont="1" applyFill="1" applyBorder="1" applyAlignment="1">
      <alignment horizontal="right" vertical="center" shrinkToFit="1"/>
    </xf>
    <xf numFmtId="0" fontId="83" fillId="0" borderId="39" xfId="0" applyFont="1" applyBorder="1" applyAlignment="1">
      <alignment vertical="center" wrapText="1"/>
    </xf>
    <xf numFmtId="0" fontId="83" fillId="0" borderId="40" xfId="0" applyFont="1" applyBorder="1" applyAlignment="1">
      <alignment vertical="center" wrapText="1"/>
    </xf>
    <xf numFmtId="0" fontId="5" fillId="82" borderId="8" xfId="0" applyFont="1" applyFill="1" applyBorder="1" applyAlignment="1">
      <alignment horizontal="center" vertical="center" wrapText="1" shrinkToFit="1"/>
    </xf>
    <xf numFmtId="0" fontId="5" fillId="82" borderId="7" xfId="0" applyFont="1" applyFill="1" applyBorder="1" applyAlignment="1">
      <alignment horizontal="center" vertical="center" wrapText="1" shrinkToFit="1"/>
    </xf>
    <xf numFmtId="0" fontId="80" fillId="82" borderId="42" xfId="0" applyFont="1" applyFill="1" applyBorder="1" applyAlignment="1">
      <alignment horizontal="center" vertical="top" wrapText="1" shrinkToFit="1"/>
    </xf>
    <xf numFmtId="0" fontId="80" fillId="82" borderId="5" xfId="0" applyFont="1" applyFill="1" applyBorder="1" applyAlignment="1">
      <alignment horizontal="center" vertical="top" wrapText="1" shrinkToFit="1"/>
    </xf>
  </cellXfs>
  <cellStyles count="4174">
    <cellStyle name="$" xfId="8"/>
    <cellStyle name="$ 2" xfId="269"/>
    <cellStyle name="$ 2 2" xfId="270"/>
    <cellStyle name="$ 2 3" xfId="271"/>
    <cellStyle name="$ 2 4" xfId="272"/>
    <cellStyle name="$ 2 5" xfId="273"/>
    <cellStyle name="$ 3" xfId="274"/>
    <cellStyle name="$ 4" xfId="275"/>
    <cellStyle name="$ 4 2" xfId="276"/>
    <cellStyle name="$ 5" xfId="268"/>
    <cellStyle name="$_S5K2N1_PRS_R02(2008.01.20)" xfId="9"/>
    <cellStyle name="$_S5K2N1_PRS_R02(2008.01.20) 2" xfId="10"/>
    <cellStyle name="$_S5K2N1_PRS_R02(2008.01.20) 3" xfId="11"/>
    <cellStyle name="$_S5K2N1_PRS_R02(2008.01.20) 4" xfId="277"/>
    <cellStyle name="$_S5K2N1_PRS_R02(2008.01.20)_S5K2P1Y_CDS_Timing_v03" xfId="12"/>
    <cellStyle name="$_S5K2N1_PRS_R02(2008.01.20)_S5K2P1Y_CDS_Timing_v03 2" xfId="278"/>
    <cellStyle name="$_S5K2N1_PRS_R02(2008.01.20)_S5K2P1Y_CDS_Timing_v03 3" xfId="279"/>
    <cellStyle name="20% - Accent1" xfId="280"/>
    <cellStyle name="20% - Accent1 2" xfId="281"/>
    <cellStyle name="20% - Accent1 3" xfId="282"/>
    <cellStyle name="20% - Accent1 4" xfId="283"/>
    <cellStyle name="20% - Accent1 5" xfId="284"/>
    <cellStyle name="20% - Accent1 6" xfId="285"/>
    <cellStyle name="20% - Accent2" xfId="286"/>
    <cellStyle name="20% - Accent2 2" xfId="287"/>
    <cellStyle name="20% - Accent2 3" xfId="288"/>
    <cellStyle name="20% - Accent2 4" xfId="289"/>
    <cellStyle name="20% - Accent2 5" xfId="290"/>
    <cellStyle name="20% - Accent2 6" xfId="291"/>
    <cellStyle name="20% - Accent3" xfId="292"/>
    <cellStyle name="20% - Accent3 2" xfId="293"/>
    <cellStyle name="20% - Accent3 3" xfId="294"/>
    <cellStyle name="20% - Accent3 4" xfId="295"/>
    <cellStyle name="20% - Accent3 5" xfId="296"/>
    <cellStyle name="20% - Accent3 6" xfId="297"/>
    <cellStyle name="20% - Accent4" xfId="298"/>
    <cellStyle name="20% - Accent4 2" xfId="299"/>
    <cellStyle name="20% - Accent4 3" xfId="300"/>
    <cellStyle name="20% - Accent4 4" xfId="301"/>
    <cellStyle name="20% - Accent4 5" xfId="302"/>
    <cellStyle name="20% - Accent4 6" xfId="303"/>
    <cellStyle name="20% - Accent5" xfId="304"/>
    <cellStyle name="20% - Accent5 2" xfId="305"/>
    <cellStyle name="20% - Accent5 3" xfId="306"/>
    <cellStyle name="20% - Accent5 4" xfId="307"/>
    <cellStyle name="20% - Accent5 5" xfId="308"/>
    <cellStyle name="20% - Accent5 6" xfId="309"/>
    <cellStyle name="20% - Accent6" xfId="310"/>
    <cellStyle name="20% - Accent6 2" xfId="311"/>
    <cellStyle name="20% - Accent6 3" xfId="312"/>
    <cellStyle name="20% - Accent6 4" xfId="313"/>
    <cellStyle name="20% - Accent6 5" xfId="314"/>
    <cellStyle name="20% - Accent6 6" xfId="315"/>
    <cellStyle name="20% - 강조색1 10" xfId="316"/>
    <cellStyle name="20% - 강조색1 10 2" xfId="317"/>
    <cellStyle name="20% - 강조색1 11" xfId="318"/>
    <cellStyle name="20% - 강조색1 11 2" xfId="319"/>
    <cellStyle name="20% - 강조색1 12" xfId="320"/>
    <cellStyle name="20% - 강조색1 12 2" xfId="321"/>
    <cellStyle name="20% - 강조색1 13" xfId="322"/>
    <cellStyle name="20% - 강조색1 13 2" xfId="323"/>
    <cellStyle name="20% - 강조색1 14" xfId="324"/>
    <cellStyle name="20% - 강조색1 14 2" xfId="325"/>
    <cellStyle name="20% - 강조색1 15" xfId="326"/>
    <cellStyle name="20% - 강조색1 15 2" xfId="327"/>
    <cellStyle name="20% - 강조색1 16" xfId="328"/>
    <cellStyle name="20% - 강조색1 16 2" xfId="329"/>
    <cellStyle name="20% - 강조색1 17" xfId="330"/>
    <cellStyle name="20% - 강조색1 17 2" xfId="331"/>
    <cellStyle name="20% - 강조색1 18" xfId="332"/>
    <cellStyle name="20% - 강조색1 19" xfId="333"/>
    <cellStyle name="20% - 강조색1 2" xfId="334"/>
    <cellStyle name="20% - 강조색1 2 10" xfId="335"/>
    <cellStyle name="20% - 강조색1 2 11" xfId="336"/>
    <cellStyle name="20% - 강조색1 2 12" xfId="337"/>
    <cellStyle name="20% - 강조색1 2 13" xfId="338"/>
    <cellStyle name="20% - 강조색1 2 14" xfId="339"/>
    <cellStyle name="20% - 강조색1 2 2" xfId="340"/>
    <cellStyle name="20% - 강조색1 2 3" xfId="341"/>
    <cellStyle name="20% - 강조색1 2 4" xfId="342"/>
    <cellStyle name="20% - 강조색1 2 5" xfId="343"/>
    <cellStyle name="20% - 강조색1 2 6" xfId="344"/>
    <cellStyle name="20% - 강조색1 2 7" xfId="345"/>
    <cellStyle name="20% - 강조색1 2 8" xfId="346"/>
    <cellStyle name="20% - 강조색1 2 9" xfId="347"/>
    <cellStyle name="20% - 강조색1 3" xfId="348"/>
    <cellStyle name="20% - 강조색1 3 10" xfId="349"/>
    <cellStyle name="20% - 강조색1 3 11" xfId="350"/>
    <cellStyle name="20% - 강조색1 3 12" xfId="351"/>
    <cellStyle name="20% - 강조색1 3 13" xfId="352"/>
    <cellStyle name="20% - 강조색1 3 2" xfId="353"/>
    <cellStyle name="20% - 강조색1 3 2 2" xfId="354"/>
    <cellStyle name="20% - 강조색1 3 2 3" xfId="355"/>
    <cellStyle name="20% - 강조색1 3 2 4" xfId="356"/>
    <cellStyle name="20% - 강조색1 3 3" xfId="357"/>
    <cellStyle name="20% - 강조색1 3 4" xfId="358"/>
    <cellStyle name="20% - 강조색1 3 5" xfId="359"/>
    <cellStyle name="20% - 강조색1 3 6" xfId="360"/>
    <cellStyle name="20% - 강조색1 3 7" xfId="361"/>
    <cellStyle name="20% - 강조색1 3 8" xfId="362"/>
    <cellStyle name="20% - 강조색1 3 9" xfId="363"/>
    <cellStyle name="20% - 강조색1 4" xfId="364"/>
    <cellStyle name="20% - 강조색1 4 2" xfId="365"/>
    <cellStyle name="20% - 강조색1 4 3" xfId="366"/>
    <cellStyle name="20% - 강조색1 4 4" xfId="367"/>
    <cellStyle name="20% - 강조색1 4 5" xfId="368"/>
    <cellStyle name="20% - 강조색1 4 6" xfId="369"/>
    <cellStyle name="20% - 강조색1 4 7" xfId="370"/>
    <cellStyle name="20% - 강조색1 4 8" xfId="371"/>
    <cellStyle name="20% - 강조색1 5" xfId="372"/>
    <cellStyle name="20% - 강조색1 5 10" xfId="373"/>
    <cellStyle name="20% - 강조색1 5 11" xfId="374"/>
    <cellStyle name="20% - 강조색1 5 12" xfId="375"/>
    <cellStyle name="20% - 강조색1 5 13" xfId="376"/>
    <cellStyle name="20% - 강조색1 5 14" xfId="377"/>
    <cellStyle name="20% - 강조색1 5 15" xfId="378"/>
    <cellStyle name="20% - 강조색1 5 16" xfId="379"/>
    <cellStyle name="20% - 강조색1 5 17" xfId="380"/>
    <cellStyle name="20% - 강조색1 5 2" xfId="381"/>
    <cellStyle name="20% - 강조색1 5 3" xfId="382"/>
    <cellStyle name="20% - 강조색1 5 4" xfId="383"/>
    <cellStyle name="20% - 강조색1 5 5" xfId="384"/>
    <cellStyle name="20% - 강조색1 5 6" xfId="385"/>
    <cellStyle name="20% - 강조색1 5 7" xfId="386"/>
    <cellStyle name="20% - 강조색1 5 8" xfId="387"/>
    <cellStyle name="20% - 강조색1 5 9" xfId="388"/>
    <cellStyle name="20% - 강조색1 6" xfId="389"/>
    <cellStyle name="20% - 강조색1 6 2" xfId="390"/>
    <cellStyle name="20% - 강조색1 6 3" xfId="391"/>
    <cellStyle name="20% - 강조색1 6 4" xfId="392"/>
    <cellStyle name="20% - 강조색1 7" xfId="393"/>
    <cellStyle name="20% - 강조색1 8" xfId="394"/>
    <cellStyle name="20% - 강조색1 9" xfId="395"/>
    <cellStyle name="20% - 강조색2 10" xfId="396"/>
    <cellStyle name="20% - 강조색2 10 2" xfId="397"/>
    <cellStyle name="20% - 강조색2 11" xfId="398"/>
    <cellStyle name="20% - 강조색2 11 2" xfId="399"/>
    <cellStyle name="20% - 강조색2 12" xfId="400"/>
    <cellStyle name="20% - 강조색2 12 2" xfId="401"/>
    <cellStyle name="20% - 강조색2 13" xfId="402"/>
    <cellStyle name="20% - 강조색2 13 2" xfId="403"/>
    <cellStyle name="20% - 강조색2 14" xfId="404"/>
    <cellStyle name="20% - 강조색2 14 2" xfId="405"/>
    <cellStyle name="20% - 강조색2 15" xfId="406"/>
    <cellStyle name="20% - 강조색2 15 2" xfId="407"/>
    <cellStyle name="20% - 강조색2 16" xfId="408"/>
    <cellStyle name="20% - 강조색2 16 2" xfId="409"/>
    <cellStyle name="20% - 강조색2 17" xfId="410"/>
    <cellStyle name="20% - 강조색2 17 2" xfId="411"/>
    <cellStyle name="20% - 강조색2 18" xfId="412"/>
    <cellStyle name="20% - 강조색2 19" xfId="413"/>
    <cellStyle name="20% - 강조색2 2" xfId="414"/>
    <cellStyle name="20% - 강조색2 2 10" xfId="415"/>
    <cellStyle name="20% - 강조색2 2 11" xfId="416"/>
    <cellStyle name="20% - 강조색2 2 12" xfId="417"/>
    <cellStyle name="20% - 강조색2 2 13" xfId="418"/>
    <cellStyle name="20% - 강조색2 2 14" xfId="419"/>
    <cellStyle name="20% - 강조색2 2 2" xfId="420"/>
    <cellStyle name="20% - 강조색2 2 3" xfId="421"/>
    <cellStyle name="20% - 강조색2 2 4" xfId="422"/>
    <cellStyle name="20% - 강조색2 2 5" xfId="423"/>
    <cellStyle name="20% - 강조색2 2 6" xfId="424"/>
    <cellStyle name="20% - 강조색2 2 7" xfId="425"/>
    <cellStyle name="20% - 강조색2 2 8" xfId="426"/>
    <cellStyle name="20% - 강조색2 2 9" xfId="427"/>
    <cellStyle name="20% - 강조색2 3" xfId="428"/>
    <cellStyle name="20% - 강조색2 3 10" xfId="429"/>
    <cellStyle name="20% - 강조색2 3 11" xfId="430"/>
    <cellStyle name="20% - 강조색2 3 12" xfId="431"/>
    <cellStyle name="20% - 강조색2 3 13" xfId="432"/>
    <cellStyle name="20% - 강조색2 3 2" xfId="433"/>
    <cellStyle name="20% - 강조색2 3 2 2" xfId="434"/>
    <cellStyle name="20% - 강조색2 3 2 3" xfId="435"/>
    <cellStyle name="20% - 강조색2 3 2 4" xfId="436"/>
    <cellStyle name="20% - 강조색2 3 3" xfId="437"/>
    <cellStyle name="20% - 강조색2 3 4" xfId="438"/>
    <cellStyle name="20% - 강조색2 3 5" xfId="439"/>
    <cellStyle name="20% - 강조색2 3 6" xfId="440"/>
    <cellStyle name="20% - 강조색2 3 7" xfId="441"/>
    <cellStyle name="20% - 강조색2 3 8" xfId="442"/>
    <cellStyle name="20% - 강조색2 3 9" xfId="443"/>
    <cellStyle name="20% - 강조색2 4" xfId="444"/>
    <cellStyle name="20% - 강조색2 4 2" xfId="445"/>
    <cellStyle name="20% - 강조색2 4 3" xfId="446"/>
    <cellStyle name="20% - 강조색2 4 4" xfId="447"/>
    <cellStyle name="20% - 강조색2 4 5" xfId="448"/>
    <cellStyle name="20% - 강조색2 4 6" xfId="449"/>
    <cellStyle name="20% - 강조색2 4 7" xfId="450"/>
    <cellStyle name="20% - 강조색2 4 8" xfId="451"/>
    <cellStyle name="20% - 강조색2 5" xfId="452"/>
    <cellStyle name="20% - 강조색2 5 10" xfId="453"/>
    <cellStyle name="20% - 강조색2 5 11" xfId="454"/>
    <cellStyle name="20% - 강조색2 5 12" xfId="455"/>
    <cellStyle name="20% - 강조색2 5 13" xfId="456"/>
    <cellStyle name="20% - 강조색2 5 14" xfId="457"/>
    <cellStyle name="20% - 강조색2 5 15" xfId="458"/>
    <cellStyle name="20% - 강조색2 5 16" xfId="459"/>
    <cellStyle name="20% - 강조색2 5 17" xfId="460"/>
    <cellStyle name="20% - 강조색2 5 2" xfId="461"/>
    <cellStyle name="20% - 강조색2 5 3" xfId="462"/>
    <cellStyle name="20% - 강조색2 5 4" xfId="463"/>
    <cellStyle name="20% - 강조색2 5 5" xfId="464"/>
    <cellStyle name="20% - 강조색2 5 6" xfId="465"/>
    <cellStyle name="20% - 강조색2 5 7" xfId="466"/>
    <cellStyle name="20% - 강조색2 5 8" xfId="467"/>
    <cellStyle name="20% - 강조색2 5 9" xfId="468"/>
    <cellStyle name="20% - 강조색2 6" xfId="469"/>
    <cellStyle name="20% - 강조색2 6 2" xfId="470"/>
    <cellStyle name="20% - 강조색2 6 3" xfId="471"/>
    <cellStyle name="20% - 강조색2 6 4" xfId="472"/>
    <cellStyle name="20% - 강조색2 7" xfId="473"/>
    <cellStyle name="20% - 강조색2 8" xfId="474"/>
    <cellStyle name="20% - 강조색2 9" xfId="475"/>
    <cellStyle name="20% - 강조색3 10" xfId="476"/>
    <cellStyle name="20% - 강조색3 10 2" xfId="477"/>
    <cellStyle name="20% - 강조색3 11" xfId="478"/>
    <cellStyle name="20% - 강조색3 11 2" xfId="479"/>
    <cellStyle name="20% - 강조색3 12" xfId="480"/>
    <cellStyle name="20% - 강조색3 12 2" xfId="481"/>
    <cellStyle name="20% - 강조색3 13" xfId="482"/>
    <cellStyle name="20% - 강조색3 13 2" xfId="483"/>
    <cellStyle name="20% - 강조색3 14" xfId="484"/>
    <cellStyle name="20% - 강조색3 14 2" xfId="485"/>
    <cellStyle name="20% - 강조색3 15" xfId="486"/>
    <cellStyle name="20% - 강조색3 15 2" xfId="487"/>
    <cellStyle name="20% - 강조색3 16" xfId="488"/>
    <cellStyle name="20% - 강조색3 16 2" xfId="489"/>
    <cellStyle name="20% - 강조색3 17" xfId="490"/>
    <cellStyle name="20% - 강조색3 17 2" xfId="491"/>
    <cellStyle name="20% - 강조색3 18" xfId="492"/>
    <cellStyle name="20% - 강조색3 19" xfId="493"/>
    <cellStyle name="20% - 강조색3 2" xfId="494"/>
    <cellStyle name="20% - 강조색3 2 10" xfId="495"/>
    <cellStyle name="20% - 강조색3 2 11" xfId="496"/>
    <cellStyle name="20% - 강조색3 2 12" xfId="497"/>
    <cellStyle name="20% - 강조색3 2 13" xfId="498"/>
    <cellStyle name="20% - 강조색3 2 14" xfId="499"/>
    <cellStyle name="20% - 강조색3 2 2" xfId="500"/>
    <cellStyle name="20% - 강조색3 2 3" xfId="501"/>
    <cellStyle name="20% - 강조색3 2 4" xfId="502"/>
    <cellStyle name="20% - 강조색3 2 5" xfId="503"/>
    <cellStyle name="20% - 강조색3 2 6" xfId="504"/>
    <cellStyle name="20% - 강조색3 2 7" xfId="505"/>
    <cellStyle name="20% - 강조색3 2 8" xfId="506"/>
    <cellStyle name="20% - 강조색3 2 9" xfId="507"/>
    <cellStyle name="20% - 강조색3 3" xfId="508"/>
    <cellStyle name="20% - 강조색3 3 10" xfId="509"/>
    <cellStyle name="20% - 강조색3 3 11" xfId="510"/>
    <cellStyle name="20% - 강조색3 3 12" xfId="511"/>
    <cellStyle name="20% - 강조색3 3 13" xfId="512"/>
    <cellStyle name="20% - 강조색3 3 2" xfId="513"/>
    <cellStyle name="20% - 강조색3 3 2 2" xfId="514"/>
    <cellStyle name="20% - 강조색3 3 2 3" xfId="515"/>
    <cellStyle name="20% - 강조색3 3 2 4" xfId="516"/>
    <cellStyle name="20% - 강조색3 3 3" xfId="517"/>
    <cellStyle name="20% - 강조색3 3 4" xfId="518"/>
    <cellStyle name="20% - 강조색3 3 5" xfId="519"/>
    <cellStyle name="20% - 강조색3 3 6" xfId="520"/>
    <cellStyle name="20% - 강조색3 3 7" xfId="521"/>
    <cellStyle name="20% - 강조색3 3 8" xfId="522"/>
    <cellStyle name="20% - 강조색3 3 9" xfId="523"/>
    <cellStyle name="20% - 강조색3 4" xfId="524"/>
    <cellStyle name="20% - 강조색3 4 2" xfId="525"/>
    <cellStyle name="20% - 강조색3 4 3" xfId="526"/>
    <cellStyle name="20% - 강조색3 4 4" xfId="527"/>
    <cellStyle name="20% - 강조색3 4 5" xfId="528"/>
    <cellStyle name="20% - 강조색3 4 6" xfId="529"/>
    <cellStyle name="20% - 강조색3 4 7" xfId="530"/>
    <cellStyle name="20% - 강조색3 4 8" xfId="531"/>
    <cellStyle name="20% - 강조색3 5" xfId="532"/>
    <cellStyle name="20% - 강조색3 5 10" xfId="533"/>
    <cellStyle name="20% - 강조색3 5 11" xfId="534"/>
    <cellStyle name="20% - 강조색3 5 12" xfId="535"/>
    <cellStyle name="20% - 강조색3 5 13" xfId="536"/>
    <cellStyle name="20% - 강조색3 5 14" xfId="537"/>
    <cellStyle name="20% - 강조색3 5 15" xfId="538"/>
    <cellStyle name="20% - 강조색3 5 16" xfId="539"/>
    <cellStyle name="20% - 강조색3 5 17" xfId="540"/>
    <cellStyle name="20% - 강조색3 5 2" xfId="541"/>
    <cellStyle name="20% - 강조색3 5 3" xfId="542"/>
    <cellStyle name="20% - 강조색3 5 4" xfId="543"/>
    <cellStyle name="20% - 강조색3 5 5" xfId="544"/>
    <cellStyle name="20% - 강조색3 5 6" xfId="545"/>
    <cellStyle name="20% - 강조색3 5 7" xfId="546"/>
    <cellStyle name="20% - 강조색3 5 8" xfId="547"/>
    <cellStyle name="20% - 강조색3 5 9" xfId="548"/>
    <cellStyle name="20% - 강조색3 6" xfId="549"/>
    <cellStyle name="20% - 강조색3 6 2" xfId="550"/>
    <cellStyle name="20% - 강조색3 6 3" xfId="551"/>
    <cellStyle name="20% - 강조색3 6 4" xfId="552"/>
    <cellStyle name="20% - 강조색3 7" xfId="553"/>
    <cellStyle name="20% - 강조색3 8" xfId="554"/>
    <cellStyle name="20% - 강조색3 9" xfId="555"/>
    <cellStyle name="20% - 강조색4 10" xfId="556"/>
    <cellStyle name="20% - 강조색4 10 2" xfId="557"/>
    <cellStyle name="20% - 강조색4 11" xfId="558"/>
    <cellStyle name="20% - 강조색4 11 2" xfId="559"/>
    <cellStyle name="20% - 강조색4 12" xfId="560"/>
    <cellStyle name="20% - 강조색4 12 2" xfId="561"/>
    <cellStyle name="20% - 강조색4 13" xfId="562"/>
    <cellStyle name="20% - 강조색4 13 2" xfId="563"/>
    <cellStyle name="20% - 강조색4 14" xfId="564"/>
    <cellStyle name="20% - 강조색4 14 2" xfId="565"/>
    <cellStyle name="20% - 강조색4 15" xfId="566"/>
    <cellStyle name="20% - 강조색4 15 2" xfId="567"/>
    <cellStyle name="20% - 강조색4 16" xfId="568"/>
    <cellStyle name="20% - 강조색4 16 2" xfId="569"/>
    <cellStyle name="20% - 강조색4 17" xfId="570"/>
    <cellStyle name="20% - 강조색4 17 2" xfId="571"/>
    <cellStyle name="20% - 강조색4 18" xfId="572"/>
    <cellStyle name="20% - 강조색4 19" xfId="573"/>
    <cellStyle name="20% - 강조색4 2" xfId="574"/>
    <cellStyle name="20% - 강조색4 2 10" xfId="575"/>
    <cellStyle name="20% - 강조색4 2 11" xfId="576"/>
    <cellStyle name="20% - 강조색4 2 12" xfId="577"/>
    <cellStyle name="20% - 강조색4 2 13" xfId="578"/>
    <cellStyle name="20% - 강조색4 2 14" xfId="579"/>
    <cellStyle name="20% - 강조색4 2 2" xfId="580"/>
    <cellStyle name="20% - 강조색4 2 3" xfId="581"/>
    <cellStyle name="20% - 강조색4 2 4" xfId="582"/>
    <cellStyle name="20% - 강조색4 2 5" xfId="583"/>
    <cellStyle name="20% - 강조색4 2 6" xfId="584"/>
    <cellStyle name="20% - 강조색4 2 7" xfId="585"/>
    <cellStyle name="20% - 강조색4 2 8" xfId="586"/>
    <cellStyle name="20% - 강조색4 2 9" xfId="587"/>
    <cellStyle name="20% - 강조색4 3" xfId="588"/>
    <cellStyle name="20% - 강조색4 3 10" xfId="589"/>
    <cellStyle name="20% - 강조색4 3 11" xfId="590"/>
    <cellStyle name="20% - 강조색4 3 12" xfId="591"/>
    <cellStyle name="20% - 강조색4 3 13" xfId="592"/>
    <cellStyle name="20% - 강조색4 3 2" xfId="593"/>
    <cellStyle name="20% - 강조색4 3 2 2" xfId="594"/>
    <cellStyle name="20% - 강조색4 3 2 3" xfId="595"/>
    <cellStyle name="20% - 강조색4 3 2 4" xfId="596"/>
    <cellStyle name="20% - 강조색4 3 3" xfId="597"/>
    <cellStyle name="20% - 강조색4 3 4" xfId="598"/>
    <cellStyle name="20% - 강조색4 3 5" xfId="599"/>
    <cellStyle name="20% - 강조색4 3 6" xfId="600"/>
    <cellStyle name="20% - 강조색4 3 7" xfId="601"/>
    <cellStyle name="20% - 강조색4 3 8" xfId="602"/>
    <cellStyle name="20% - 강조색4 3 9" xfId="603"/>
    <cellStyle name="20% - 강조색4 4" xfId="604"/>
    <cellStyle name="20% - 강조색4 4 2" xfId="605"/>
    <cellStyle name="20% - 강조색4 4 3" xfId="606"/>
    <cellStyle name="20% - 강조색4 4 4" xfId="607"/>
    <cellStyle name="20% - 강조색4 4 5" xfId="608"/>
    <cellStyle name="20% - 강조색4 4 6" xfId="609"/>
    <cellStyle name="20% - 강조색4 4 7" xfId="610"/>
    <cellStyle name="20% - 강조색4 4 8" xfId="611"/>
    <cellStyle name="20% - 강조색4 5" xfId="612"/>
    <cellStyle name="20% - 강조색4 5 10" xfId="613"/>
    <cellStyle name="20% - 강조색4 5 11" xfId="614"/>
    <cellStyle name="20% - 강조색4 5 12" xfId="615"/>
    <cellStyle name="20% - 강조색4 5 13" xfId="616"/>
    <cellStyle name="20% - 강조색4 5 14" xfId="617"/>
    <cellStyle name="20% - 강조색4 5 15" xfId="618"/>
    <cellStyle name="20% - 강조색4 5 16" xfId="619"/>
    <cellStyle name="20% - 강조색4 5 17" xfId="620"/>
    <cellStyle name="20% - 강조색4 5 2" xfId="621"/>
    <cellStyle name="20% - 강조색4 5 3" xfId="622"/>
    <cellStyle name="20% - 강조색4 5 4" xfId="623"/>
    <cellStyle name="20% - 강조색4 5 5" xfId="624"/>
    <cellStyle name="20% - 강조색4 5 6" xfId="625"/>
    <cellStyle name="20% - 강조색4 5 7" xfId="626"/>
    <cellStyle name="20% - 강조색4 5 8" xfId="627"/>
    <cellStyle name="20% - 강조색4 5 9" xfId="628"/>
    <cellStyle name="20% - 강조색4 6" xfId="629"/>
    <cellStyle name="20% - 강조색4 6 2" xfId="630"/>
    <cellStyle name="20% - 강조색4 6 3" xfId="631"/>
    <cellStyle name="20% - 강조색4 6 4" xfId="632"/>
    <cellStyle name="20% - 강조색4 7" xfId="633"/>
    <cellStyle name="20% - 강조색4 8" xfId="634"/>
    <cellStyle name="20% - 강조색4 9" xfId="635"/>
    <cellStyle name="20% - 강조색5 10" xfId="636"/>
    <cellStyle name="20% - 강조색5 10 2" xfId="637"/>
    <cellStyle name="20% - 강조색5 11" xfId="638"/>
    <cellStyle name="20% - 강조색5 11 2" xfId="639"/>
    <cellStyle name="20% - 강조색5 12" xfId="640"/>
    <cellStyle name="20% - 강조색5 12 2" xfId="641"/>
    <cellStyle name="20% - 강조색5 13" xfId="642"/>
    <cellStyle name="20% - 강조색5 13 2" xfId="643"/>
    <cellStyle name="20% - 강조색5 14" xfId="644"/>
    <cellStyle name="20% - 강조색5 14 2" xfId="645"/>
    <cellStyle name="20% - 강조색5 15" xfId="646"/>
    <cellStyle name="20% - 강조색5 15 2" xfId="647"/>
    <cellStyle name="20% - 강조색5 16" xfId="648"/>
    <cellStyle name="20% - 강조색5 16 2" xfId="649"/>
    <cellStyle name="20% - 강조색5 17" xfId="650"/>
    <cellStyle name="20% - 강조색5 17 2" xfId="651"/>
    <cellStyle name="20% - 강조색5 18" xfId="652"/>
    <cellStyle name="20% - 강조색5 19" xfId="653"/>
    <cellStyle name="20% - 강조색5 2" xfId="654"/>
    <cellStyle name="20% - 강조색5 2 10" xfId="655"/>
    <cellStyle name="20% - 강조색5 2 11" xfId="656"/>
    <cellStyle name="20% - 강조색5 2 12" xfId="657"/>
    <cellStyle name="20% - 강조색5 2 13" xfId="658"/>
    <cellStyle name="20% - 강조색5 2 14" xfId="659"/>
    <cellStyle name="20% - 강조색5 2 2" xfId="660"/>
    <cellStyle name="20% - 강조색5 2 3" xfId="661"/>
    <cellStyle name="20% - 강조색5 2 4" xfId="662"/>
    <cellStyle name="20% - 강조색5 2 5" xfId="663"/>
    <cellStyle name="20% - 강조색5 2 6" xfId="664"/>
    <cellStyle name="20% - 강조색5 2 7" xfId="665"/>
    <cellStyle name="20% - 강조색5 2 8" xfId="666"/>
    <cellStyle name="20% - 강조색5 2 9" xfId="667"/>
    <cellStyle name="20% - 강조색5 3" xfId="668"/>
    <cellStyle name="20% - 강조색5 3 10" xfId="669"/>
    <cellStyle name="20% - 강조색5 3 11" xfId="670"/>
    <cellStyle name="20% - 강조색5 3 12" xfId="671"/>
    <cellStyle name="20% - 강조색5 3 13" xfId="672"/>
    <cellStyle name="20% - 강조색5 3 2" xfId="673"/>
    <cellStyle name="20% - 강조색5 3 2 2" xfId="674"/>
    <cellStyle name="20% - 강조색5 3 2 3" xfId="675"/>
    <cellStyle name="20% - 강조색5 3 2 4" xfId="676"/>
    <cellStyle name="20% - 강조색5 3 3" xfId="677"/>
    <cellStyle name="20% - 강조색5 3 4" xfId="678"/>
    <cellStyle name="20% - 강조색5 3 5" xfId="679"/>
    <cellStyle name="20% - 강조색5 3 6" xfId="680"/>
    <cellStyle name="20% - 강조색5 3 7" xfId="681"/>
    <cellStyle name="20% - 강조색5 3 8" xfId="682"/>
    <cellStyle name="20% - 강조색5 3 9" xfId="683"/>
    <cellStyle name="20% - 강조색5 4" xfId="684"/>
    <cellStyle name="20% - 강조색5 4 2" xfId="685"/>
    <cellStyle name="20% - 강조색5 4 3" xfId="686"/>
    <cellStyle name="20% - 강조색5 4 4" xfId="687"/>
    <cellStyle name="20% - 강조색5 4 5" xfId="688"/>
    <cellStyle name="20% - 강조색5 4 6" xfId="689"/>
    <cellStyle name="20% - 강조색5 4 7" xfId="690"/>
    <cellStyle name="20% - 강조색5 4 8" xfId="691"/>
    <cellStyle name="20% - 강조색5 5" xfId="692"/>
    <cellStyle name="20% - 강조색5 5 10" xfId="693"/>
    <cellStyle name="20% - 강조색5 5 11" xfId="694"/>
    <cellStyle name="20% - 강조색5 5 12" xfId="695"/>
    <cellStyle name="20% - 강조색5 5 13" xfId="696"/>
    <cellStyle name="20% - 강조색5 5 14" xfId="697"/>
    <cellStyle name="20% - 강조색5 5 15" xfId="698"/>
    <cellStyle name="20% - 강조색5 5 16" xfId="699"/>
    <cellStyle name="20% - 강조색5 5 17" xfId="700"/>
    <cellStyle name="20% - 강조색5 5 2" xfId="701"/>
    <cellStyle name="20% - 강조색5 5 3" xfId="702"/>
    <cellStyle name="20% - 강조색5 5 4" xfId="703"/>
    <cellStyle name="20% - 강조색5 5 5" xfId="704"/>
    <cellStyle name="20% - 강조색5 5 6" xfId="705"/>
    <cellStyle name="20% - 강조색5 5 7" xfId="706"/>
    <cellStyle name="20% - 강조색5 5 8" xfId="707"/>
    <cellStyle name="20% - 강조색5 5 9" xfId="708"/>
    <cellStyle name="20% - 강조색5 6" xfId="709"/>
    <cellStyle name="20% - 강조색5 6 2" xfId="710"/>
    <cellStyle name="20% - 강조색5 6 3" xfId="711"/>
    <cellStyle name="20% - 강조색5 6 4" xfId="712"/>
    <cellStyle name="20% - 강조색5 7" xfId="713"/>
    <cellStyle name="20% - 강조색5 8" xfId="714"/>
    <cellStyle name="20% - 강조색5 9" xfId="715"/>
    <cellStyle name="20% - 강조색6 10" xfId="716"/>
    <cellStyle name="20% - 강조색6 10 2" xfId="717"/>
    <cellStyle name="20% - 강조색6 11" xfId="718"/>
    <cellStyle name="20% - 강조색6 11 2" xfId="719"/>
    <cellStyle name="20% - 강조색6 12" xfId="720"/>
    <cellStyle name="20% - 강조색6 12 2" xfId="721"/>
    <cellStyle name="20% - 강조색6 13" xfId="722"/>
    <cellStyle name="20% - 강조색6 13 2" xfId="723"/>
    <cellStyle name="20% - 강조색6 14" xfId="724"/>
    <cellStyle name="20% - 강조색6 14 2" xfId="725"/>
    <cellStyle name="20% - 강조색6 15" xfId="726"/>
    <cellStyle name="20% - 강조색6 15 2" xfId="727"/>
    <cellStyle name="20% - 강조색6 16" xfId="728"/>
    <cellStyle name="20% - 강조색6 16 2" xfId="729"/>
    <cellStyle name="20% - 강조색6 17" xfId="730"/>
    <cellStyle name="20% - 강조색6 17 2" xfId="731"/>
    <cellStyle name="20% - 강조색6 18" xfId="732"/>
    <cellStyle name="20% - 강조색6 19" xfId="733"/>
    <cellStyle name="20% - 강조색6 2" xfId="734"/>
    <cellStyle name="20% - 강조색6 2 10" xfId="735"/>
    <cellStyle name="20% - 강조색6 2 11" xfId="736"/>
    <cellStyle name="20% - 강조색6 2 12" xfId="737"/>
    <cellStyle name="20% - 강조색6 2 13" xfId="738"/>
    <cellStyle name="20% - 강조색6 2 14" xfId="739"/>
    <cellStyle name="20% - 강조색6 2 2" xfId="740"/>
    <cellStyle name="20% - 강조색6 2 3" xfId="741"/>
    <cellStyle name="20% - 강조색6 2 4" xfId="742"/>
    <cellStyle name="20% - 강조색6 2 5" xfId="743"/>
    <cellStyle name="20% - 강조색6 2 6" xfId="744"/>
    <cellStyle name="20% - 강조색6 2 7" xfId="745"/>
    <cellStyle name="20% - 강조색6 2 8" xfId="746"/>
    <cellStyle name="20% - 강조색6 2 9" xfId="747"/>
    <cellStyle name="20% - 강조색6 3" xfId="748"/>
    <cellStyle name="20% - 강조색6 3 10" xfId="749"/>
    <cellStyle name="20% - 강조색6 3 11" xfId="750"/>
    <cellStyle name="20% - 강조색6 3 12" xfId="751"/>
    <cellStyle name="20% - 강조색6 3 13" xfId="752"/>
    <cellStyle name="20% - 강조색6 3 2" xfId="753"/>
    <cellStyle name="20% - 강조색6 3 2 2" xfId="754"/>
    <cellStyle name="20% - 강조색6 3 2 3" xfId="755"/>
    <cellStyle name="20% - 강조색6 3 2 4" xfId="756"/>
    <cellStyle name="20% - 강조색6 3 3" xfId="757"/>
    <cellStyle name="20% - 강조색6 3 4" xfId="758"/>
    <cellStyle name="20% - 강조색6 3 5" xfId="759"/>
    <cellStyle name="20% - 강조색6 3 6" xfId="760"/>
    <cellStyle name="20% - 강조색6 3 7" xfId="761"/>
    <cellStyle name="20% - 강조색6 3 8" xfId="762"/>
    <cellStyle name="20% - 강조색6 3 9" xfId="763"/>
    <cellStyle name="20% - 강조색6 4" xfId="764"/>
    <cellStyle name="20% - 강조색6 4 2" xfId="765"/>
    <cellStyle name="20% - 강조색6 4 3" xfId="766"/>
    <cellStyle name="20% - 강조색6 4 4" xfId="767"/>
    <cellStyle name="20% - 강조색6 4 5" xfId="768"/>
    <cellStyle name="20% - 강조색6 4 6" xfId="769"/>
    <cellStyle name="20% - 강조색6 4 7" xfId="770"/>
    <cellStyle name="20% - 강조색6 4 8" xfId="771"/>
    <cellStyle name="20% - 강조색6 5" xfId="772"/>
    <cellStyle name="20% - 강조색6 5 10" xfId="773"/>
    <cellStyle name="20% - 강조색6 5 11" xfId="774"/>
    <cellStyle name="20% - 강조색6 5 12" xfId="775"/>
    <cellStyle name="20% - 강조색6 5 13" xfId="776"/>
    <cellStyle name="20% - 강조색6 5 14" xfId="777"/>
    <cellStyle name="20% - 강조색6 5 15" xfId="778"/>
    <cellStyle name="20% - 강조색6 5 16" xfId="779"/>
    <cellStyle name="20% - 강조색6 5 17" xfId="780"/>
    <cellStyle name="20% - 강조색6 5 2" xfId="781"/>
    <cellStyle name="20% - 강조색6 5 3" xfId="782"/>
    <cellStyle name="20% - 강조색6 5 4" xfId="783"/>
    <cellStyle name="20% - 강조색6 5 5" xfId="784"/>
    <cellStyle name="20% - 강조색6 5 6" xfId="785"/>
    <cellStyle name="20% - 강조색6 5 7" xfId="786"/>
    <cellStyle name="20% - 강조색6 5 8" xfId="787"/>
    <cellStyle name="20% - 강조색6 5 9" xfId="788"/>
    <cellStyle name="20% - 강조색6 6" xfId="789"/>
    <cellStyle name="20% - 강조색6 6 2" xfId="790"/>
    <cellStyle name="20% - 강조색6 6 3" xfId="791"/>
    <cellStyle name="20% - 강조색6 6 4" xfId="792"/>
    <cellStyle name="20% - 강조색6 7" xfId="793"/>
    <cellStyle name="20% - 강조색6 8" xfId="794"/>
    <cellStyle name="20% - 강조색6 9" xfId="795"/>
    <cellStyle name="40% - Accent1" xfId="796"/>
    <cellStyle name="40% - Accent1 2" xfId="797"/>
    <cellStyle name="40% - Accent1 3" xfId="798"/>
    <cellStyle name="40% - Accent1 4" xfId="799"/>
    <cellStyle name="40% - Accent1 5" xfId="800"/>
    <cellStyle name="40% - Accent1 6" xfId="801"/>
    <cellStyle name="40% - Accent2" xfId="802"/>
    <cellStyle name="40% - Accent2 2" xfId="803"/>
    <cellStyle name="40% - Accent2 3" xfId="804"/>
    <cellStyle name="40% - Accent2 4" xfId="805"/>
    <cellStyle name="40% - Accent2 5" xfId="806"/>
    <cellStyle name="40% - Accent2 6" xfId="807"/>
    <cellStyle name="40% - Accent3" xfId="808"/>
    <cellStyle name="40% - Accent3 2" xfId="809"/>
    <cellStyle name="40% - Accent3 3" xfId="810"/>
    <cellStyle name="40% - Accent3 4" xfId="811"/>
    <cellStyle name="40% - Accent3 5" xfId="812"/>
    <cellStyle name="40% - Accent3 6" xfId="813"/>
    <cellStyle name="40% - Accent4" xfId="814"/>
    <cellStyle name="40% - Accent4 2" xfId="815"/>
    <cellStyle name="40% - Accent4 3" xfId="816"/>
    <cellStyle name="40% - Accent4 4" xfId="817"/>
    <cellStyle name="40% - Accent4 5" xfId="818"/>
    <cellStyle name="40% - Accent4 6" xfId="819"/>
    <cellStyle name="40% - Accent5" xfId="820"/>
    <cellStyle name="40% - Accent5 2" xfId="821"/>
    <cellStyle name="40% - Accent5 3" xfId="822"/>
    <cellStyle name="40% - Accent5 4" xfId="823"/>
    <cellStyle name="40% - Accent5 5" xfId="824"/>
    <cellStyle name="40% - Accent5 6" xfId="825"/>
    <cellStyle name="40% - Accent6" xfId="826"/>
    <cellStyle name="40% - Accent6 2" xfId="827"/>
    <cellStyle name="40% - Accent6 3" xfId="828"/>
    <cellStyle name="40% - Accent6 4" xfId="829"/>
    <cellStyle name="40% - Accent6 5" xfId="830"/>
    <cellStyle name="40% - Accent6 6" xfId="831"/>
    <cellStyle name="40% - 강조색1 10" xfId="832"/>
    <cellStyle name="40% - 강조색1 10 2" xfId="833"/>
    <cellStyle name="40% - 강조색1 11" xfId="834"/>
    <cellStyle name="40% - 강조색1 11 2" xfId="835"/>
    <cellStyle name="40% - 강조색1 12" xfId="836"/>
    <cellStyle name="40% - 강조색1 12 2" xfId="837"/>
    <cellStyle name="40% - 강조색1 13" xfId="838"/>
    <cellStyle name="40% - 강조색1 13 2" xfId="839"/>
    <cellStyle name="40% - 강조색1 14" xfId="840"/>
    <cellStyle name="40% - 강조색1 14 2" xfId="841"/>
    <cellStyle name="40% - 강조색1 15" xfId="842"/>
    <cellStyle name="40% - 강조색1 15 2" xfId="843"/>
    <cellStyle name="40% - 강조색1 16" xfId="844"/>
    <cellStyle name="40% - 강조색1 16 2" xfId="845"/>
    <cellStyle name="40% - 강조색1 17" xfId="846"/>
    <cellStyle name="40% - 강조색1 17 2" xfId="847"/>
    <cellStyle name="40% - 강조색1 18" xfId="848"/>
    <cellStyle name="40% - 강조색1 19" xfId="849"/>
    <cellStyle name="40% - 강조색1 2" xfId="850"/>
    <cellStyle name="40% - 강조색1 2 10" xfId="851"/>
    <cellStyle name="40% - 강조색1 2 11" xfId="852"/>
    <cellStyle name="40% - 강조색1 2 12" xfId="853"/>
    <cellStyle name="40% - 강조색1 2 13" xfId="854"/>
    <cellStyle name="40% - 강조색1 2 14" xfId="855"/>
    <cellStyle name="40% - 강조색1 2 2" xfId="856"/>
    <cellStyle name="40% - 강조색1 2 3" xfId="857"/>
    <cellStyle name="40% - 강조색1 2 4" xfId="858"/>
    <cellStyle name="40% - 강조색1 2 5" xfId="859"/>
    <cellStyle name="40% - 강조색1 2 6" xfId="860"/>
    <cellStyle name="40% - 강조색1 2 7" xfId="861"/>
    <cellStyle name="40% - 강조색1 2 8" xfId="862"/>
    <cellStyle name="40% - 강조색1 2 9" xfId="863"/>
    <cellStyle name="40% - 강조색1 3" xfId="864"/>
    <cellStyle name="40% - 강조색1 3 10" xfId="865"/>
    <cellStyle name="40% - 강조색1 3 11" xfId="866"/>
    <cellStyle name="40% - 강조색1 3 12" xfId="867"/>
    <cellStyle name="40% - 강조색1 3 13" xfId="868"/>
    <cellStyle name="40% - 강조색1 3 2" xfId="869"/>
    <cellStyle name="40% - 강조색1 3 2 2" xfId="870"/>
    <cellStyle name="40% - 강조색1 3 2 3" xfId="871"/>
    <cellStyle name="40% - 강조색1 3 2 4" xfId="872"/>
    <cellStyle name="40% - 강조색1 3 3" xfId="873"/>
    <cellStyle name="40% - 강조색1 3 4" xfId="874"/>
    <cellStyle name="40% - 강조색1 3 5" xfId="875"/>
    <cellStyle name="40% - 강조색1 3 6" xfId="876"/>
    <cellStyle name="40% - 강조색1 3 7" xfId="877"/>
    <cellStyle name="40% - 강조색1 3 8" xfId="878"/>
    <cellStyle name="40% - 강조색1 3 9" xfId="879"/>
    <cellStyle name="40% - 강조색1 4" xfId="880"/>
    <cellStyle name="40% - 강조색1 4 2" xfId="881"/>
    <cellStyle name="40% - 강조색1 4 3" xfId="882"/>
    <cellStyle name="40% - 강조색1 4 4" xfId="883"/>
    <cellStyle name="40% - 강조색1 4 5" xfId="884"/>
    <cellStyle name="40% - 강조색1 4 6" xfId="885"/>
    <cellStyle name="40% - 강조색1 4 7" xfId="886"/>
    <cellStyle name="40% - 강조색1 4 8" xfId="887"/>
    <cellStyle name="40% - 강조색1 5" xfId="888"/>
    <cellStyle name="40% - 강조색1 5 10" xfId="889"/>
    <cellStyle name="40% - 강조색1 5 11" xfId="890"/>
    <cellStyle name="40% - 강조색1 5 12" xfId="891"/>
    <cellStyle name="40% - 강조색1 5 13" xfId="892"/>
    <cellStyle name="40% - 강조색1 5 14" xfId="893"/>
    <cellStyle name="40% - 강조색1 5 15" xfId="894"/>
    <cellStyle name="40% - 강조색1 5 16" xfId="895"/>
    <cellStyle name="40% - 강조색1 5 17" xfId="896"/>
    <cellStyle name="40% - 강조색1 5 2" xfId="897"/>
    <cellStyle name="40% - 강조색1 5 3" xfId="898"/>
    <cellStyle name="40% - 강조색1 5 4" xfId="899"/>
    <cellStyle name="40% - 강조색1 5 5" xfId="900"/>
    <cellStyle name="40% - 강조색1 5 6" xfId="901"/>
    <cellStyle name="40% - 강조색1 5 7" xfId="902"/>
    <cellStyle name="40% - 강조색1 5 8" xfId="903"/>
    <cellStyle name="40% - 강조색1 5 9" xfId="904"/>
    <cellStyle name="40% - 강조색1 6" xfId="905"/>
    <cellStyle name="40% - 강조색1 6 2" xfId="906"/>
    <cellStyle name="40% - 강조색1 6 3" xfId="907"/>
    <cellStyle name="40% - 강조색1 6 4" xfId="908"/>
    <cellStyle name="40% - 강조색1 7" xfId="909"/>
    <cellStyle name="40% - 강조색1 8" xfId="910"/>
    <cellStyle name="40% - 강조색1 9" xfId="911"/>
    <cellStyle name="40% - 강조색2 10" xfId="912"/>
    <cellStyle name="40% - 강조색2 10 2" xfId="913"/>
    <cellStyle name="40% - 강조색2 11" xfId="914"/>
    <cellStyle name="40% - 강조색2 11 2" xfId="915"/>
    <cellStyle name="40% - 강조색2 12" xfId="916"/>
    <cellStyle name="40% - 강조색2 12 2" xfId="917"/>
    <cellStyle name="40% - 강조색2 13" xfId="918"/>
    <cellStyle name="40% - 강조색2 13 2" xfId="919"/>
    <cellStyle name="40% - 강조색2 14" xfId="920"/>
    <cellStyle name="40% - 강조색2 14 2" xfId="921"/>
    <cellStyle name="40% - 강조색2 15" xfId="922"/>
    <cellStyle name="40% - 강조색2 15 2" xfId="923"/>
    <cellStyle name="40% - 강조색2 16" xfId="924"/>
    <cellStyle name="40% - 강조색2 16 2" xfId="925"/>
    <cellStyle name="40% - 강조색2 17" xfId="926"/>
    <cellStyle name="40% - 강조색2 17 2" xfId="927"/>
    <cellStyle name="40% - 강조색2 18" xfId="928"/>
    <cellStyle name="40% - 강조색2 19" xfId="929"/>
    <cellStyle name="40% - 강조색2 2" xfId="930"/>
    <cellStyle name="40% - 강조색2 2 10" xfId="931"/>
    <cellStyle name="40% - 강조색2 2 11" xfId="932"/>
    <cellStyle name="40% - 강조색2 2 12" xfId="933"/>
    <cellStyle name="40% - 강조색2 2 13" xfId="934"/>
    <cellStyle name="40% - 강조색2 2 14" xfId="935"/>
    <cellStyle name="40% - 강조색2 2 2" xfId="936"/>
    <cellStyle name="40% - 강조색2 2 3" xfId="937"/>
    <cellStyle name="40% - 강조색2 2 4" xfId="938"/>
    <cellStyle name="40% - 강조색2 2 5" xfId="939"/>
    <cellStyle name="40% - 강조색2 2 6" xfId="940"/>
    <cellStyle name="40% - 강조색2 2 7" xfId="941"/>
    <cellStyle name="40% - 강조색2 2 8" xfId="942"/>
    <cellStyle name="40% - 강조색2 2 9" xfId="943"/>
    <cellStyle name="40% - 강조색2 3" xfId="944"/>
    <cellStyle name="40% - 강조색2 3 10" xfId="945"/>
    <cellStyle name="40% - 강조색2 3 11" xfId="946"/>
    <cellStyle name="40% - 강조색2 3 12" xfId="947"/>
    <cellStyle name="40% - 강조색2 3 13" xfId="948"/>
    <cellStyle name="40% - 강조색2 3 2" xfId="949"/>
    <cellStyle name="40% - 강조색2 3 2 2" xfId="950"/>
    <cellStyle name="40% - 강조색2 3 2 3" xfId="951"/>
    <cellStyle name="40% - 강조색2 3 2 4" xfId="952"/>
    <cellStyle name="40% - 강조색2 3 3" xfId="953"/>
    <cellStyle name="40% - 강조색2 3 4" xfId="954"/>
    <cellStyle name="40% - 강조색2 3 5" xfId="955"/>
    <cellStyle name="40% - 강조색2 3 6" xfId="956"/>
    <cellStyle name="40% - 강조색2 3 7" xfId="957"/>
    <cellStyle name="40% - 강조색2 3 8" xfId="958"/>
    <cellStyle name="40% - 강조색2 3 9" xfId="959"/>
    <cellStyle name="40% - 강조색2 4" xfId="960"/>
    <cellStyle name="40% - 강조색2 4 2" xfId="961"/>
    <cellStyle name="40% - 강조색2 4 3" xfId="962"/>
    <cellStyle name="40% - 강조색2 4 4" xfId="963"/>
    <cellStyle name="40% - 강조색2 4 5" xfId="964"/>
    <cellStyle name="40% - 강조색2 4 6" xfId="965"/>
    <cellStyle name="40% - 강조색2 4 7" xfId="966"/>
    <cellStyle name="40% - 강조색2 4 8" xfId="967"/>
    <cellStyle name="40% - 강조색2 5" xfId="968"/>
    <cellStyle name="40% - 강조색2 5 10" xfId="969"/>
    <cellStyle name="40% - 강조색2 5 11" xfId="970"/>
    <cellStyle name="40% - 강조색2 5 12" xfId="971"/>
    <cellStyle name="40% - 강조색2 5 13" xfId="972"/>
    <cellStyle name="40% - 강조색2 5 14" xfId="973"/>
    <cellStyle name="40% - 강조색2 5 15" xfId="974"/>
    <cellStyle name="40% - 강조색2 5 16" xfId="975"/>
    <cellStyle name="40% - 강조색2 5 17" xfId="976"/>
    <cellStyle name="40% - 강조색2 5 2" xfId="977"/>
    <cellStyle name="40% - 강조색2 5 3" xfId="978"/>
    <cellStyle name="40% - 강조색2 5 4" xfId="979"/>
    <cellStyle name="40% - 강조색2 5 5" xfId="980"/>
    <cellStyle name="40% - 강조색2 5 6" xfId="981"/>
    <cellStyle name="40% - 강조색2 5 7" xfId="982"/>
    <cellStyle name="40% - 강조색2 5 8" xfId="983"/>
    <cellStyle name="40% - 강조색2 5 9" xfId="984"/>
    <cellStyle name="40% - 강조색2 6" xfId="985"/>
    <cellStyle name="40% - 강조색2 6 2" xfId="986"/>
    <cellStyle name="40% - 강조색2 6 3" xfId="987"/>
    <cellStyle name="40% - 강조색2 6 4" xfId="988"/>
    <cellStyle name="40% - 강조색2 7" xfId="989"/>
    <cellStyle name="40% - 강조색2 8" xfId="990"/>
    <cellStyle name="40% - 강조색2 9" xfId="991"/>
    <cellStyle name="40% - 강조색3 10" xfId="992"/>
    <cellStyle name="40% - 강조색3 10 2" xfId="993"/>
    <cellStyle name="40% - 강조색3 11" xfId="994"/>
    <cellStyle name="40% - 강조색3 11 2" xfId="995"/>
    <cellStyle name="40% - 강조색3 12" xfId="996"/>
    <cellStyle name="40% - 강조색3 12 2" xfId="997"/>
    <cellStyle name="40% - 강조색3 13" xfId="998"/>
    <cellStyle name="40% - 강조색3 13 2" xfId="999"/>
    <cellStyle name="40% - 강조색3 14" xfId="1000"/>
    <cellStyle name="40% - 강조색3 14 2" xfId="1001"/>
    <cellStyle name="40% - 강조색3 15" xfId="1002"/>
    <cellStyle name="40% - 강조색3 15 2" xfId="1003"/>
    <cellStyle name="40% - 강조색3 16" xfId="1004"/>
    <cellStyle name="40% - 강조색3 16 2" xfId="1005"/>
    <cellStyle name="40% - 강조색3 17" xfId="1006"/>
    <cellStyle name="40% - 강조색3 17 2" xfId="1007"/>
    <cellStyle name="40% - 강조색3 18" xfId="1008"/>
    <cellStyle name="40% - 강조색3 19" xfId="1009"/>
    <cellStyle name="40% - 강조색3 2" xfId="1010"/>
    <cellStyle name="40% - 강조색3 2 10" xfId="1011"/>
    <cellStyle name="40% - 강조색3 2 11" xfId="1012"/>
    <cellStyle name="40% - 강조색3 2 12" xfId="1013"/>
    <cellStyle name="40% - 강조색3 2 13" xfId="1014"/>
    <cellStyle name="40% - 강조색3 2 14" xfId="1015"/>
    <cellStyle name="40% - 강조색3 2 2" xfId="1016"/>
    <cellStyle name="40% - 강조색3 2 3" xfId="1017"/>
    <cellStyle name="40% - 강조색3 2 4" xfId="1018"/>
    <cellStyle name="40% - 강조색3 2 5" xfId="1019"/>
    <cellStyle name="40% - 강조색3 2 6" xfId="1020"/>
    <cellStyle name="40% - 강조색3 2 7" xfId="1021"/>
    <cellStyle name="40% - 강조색3 2 8" xfId="1022"/>
    <cellStyle name="40% - 강조색3 2 9" xfId="1023"/>
    <cellStyle name="40% - 강조색3 3" xfId="1024"/>
    <cellStyle name="40% - 강조색3 3 10" xfId="1025"/>
    <cellStyle name="40% - 강조색3 3 11" xfId="1026"/>
    <cellStyle name="40% - 강조색3 3 12" xfId="1027"/>
    <cellStyle name="40% - 강조색3 3 13" xfId="1028"/>
    <cellStyle name="40% - 강조색3 3 2" xfId="1029"/>
    <cellStyle name="40% - 강조색3 3 2 2" xfId="1030"/>
    <cellStyle name="40% - 강조색3 3 2 3" xfId="1031"/>
    <cellStyle name="40% - 강조색3 3 2 4" xfId="1032"/>
    <cellStyle name="40% - 강조색3 3 3" xfId="1033"/>
    <cellStyle name="40% - 강조색3 3 4" xfId="1034"/>
    <cellStyle name="40% - 강조색3 3 5" xfId="1035"/>
    <cellStyle name="40% - 강조색3 3 6" xfId="1036"/>
    <cellStyle name="40% - 강조색3 3 7" xfId="1037"/>
    <cellStyle name="40% - 강조색3 3 8" xfId="1038"/>
    <cellStyle name="40% - 강조색3 3 9" xfId="1039"/>
    <cellStyle name="40% - 강조색3 4" xfId="1040"/>
    <cellStyle name="40% - 강조색3 4 2" xfId="1041"/>
    <cellStyle name="40% - 강조색3 4 3" xfId="1042"/>
    <cellStyle name="40% - 강조색3 4 4" xfId="1043"/>
    <cellStyle name="40% - 강조색3 4 5" xfId="1044"/>
    <cellStyle name="40% - 강조색3 4 6" xfId="1045"/>
    <cellStyle name="40% - 강조색3 4 7" xfId="1046"/>
    <cellStyle name="40% - 강조색3 4 8" xfId="1047"/>
    <cellStyle name="40% - 강조색3 5" xfId="1048"/>
    <cellStyle name="40% - 강조색3 5 10" xfId="1049"/>
    <cellStyle name="40% - 강조색3 5 11" xfId="1050"/>
    <cellStyle name="40% - 강조색3 5 12" xfId="1051"/>
    <cellStyle name="40% - 강조색3 5 13" xfId="1052"/>
    <cellStyle name="40% - 강조색3 5 14" xfId="1053"/>
    <cellStyle name="40% - 강조색3 5 15" xfId="1054"/>
    <cellStyle name="40% - 강조색3 5 16" xfId="1055"/>
    <cellStyle name="40% - 강조색3 5 17" xfId="1056"/>
    <cellStyle name="40% - 강조색3 5 2" xfId="1057"/>
    <cellStyle name="40% - 강조색3 5 3" xfId="1058"/>
    <cellStyle name="40% - 강조색3 5 4" xfId="1059"/>
    <cellStyle name="40% - 강조색3 5 5" xfId="1060"/>
    <cellStyle name="40% - 강조색3 5 6" xfId="1061"/>
    <cellStyle name="40% - 강조색3 5 7" xfId="1062"/>
    <cellStyle name="40% - 강조색3 5 8" xfId="1063"/>
    <cellStyle name="40% - 강조색3 5 9" xfId="1064"/>
    <cellStyle name="40% - 강조색3 6" xfId="1065"/>
    <cellStyle name="40% - 강조색3 6 2" xfId="1066"/>
    <cellStyle name="40% - 강조색3 6 3" xfId="1067"/>
    <cellStyle name="40% - 강조색3 6 4" xfId="1068"/>
    <cellStyle name="40% - 강조색3 7" xfId="1069"/>
    <cellStyle name="40% - 강조색3 8" xfId="1070"/>
    <cellStyle name="40% - 강조색3 9" xfId="1071"/>
    <cellStyle name="40% - 강조색4 10" xfId="1072"/>
    <cellStyle name="40% - 강조색4 10 2" xfId="1073"/>
    <cellStyle name="40% - 강조색4 11" xfId="1074"/>
    <cellStyle name="40% - 강조색4 11 2" xfId="1075"/>
    <cellStyle name="40% - 강조색4 12" xfId="1076"/>
    <cellStyle name="40% - 강조색4 12 2" xfId="1077"/>
    <cellStyle name="40% - 강조색4 13" xfId="1078"/>
    <cellStyle name="40% - 강조색4 13 2" xfId="1079"/>
    <cellStyle name="40% - 강조색4 14" xfId="1080"/>
    <cellStyle name="40% - 강조색4 14 2" xfId="1081"/>
    <cellStyle name="40% - 강조색4 15" xfId="1082"/>
    <cellStyle name="40% - 강조색4 15 2" xfId="1083"/>
    <cellStyle name="40% - 강조색4 16" xfId="1084"/>
    <cellStyle name="40% - 강조색4 16 2" xfId="1085"/>
    <cellStyle name="40% - 강조색4 17" xfId="1086"/>
    <cellStyle name="40% - 강조색4 17 2" xfId="1087"/>
    <cellStyle name="40% - 강조색4 18" xfId="1088"/>
    <cellStyle name="40% - 강조색4 19" xfId="1089"/>
    <cellStyle name="40% - 강조색4 2" xfId="1090"/>
    <cellStyle name="40% - 강조색4 2 10" xfId="1091"/>
    <cellStyle name="40% - 강조색4 2 11" xfId="1092"/>
    <cellStyle name="40% - 강조색4 2 12" xfId="1093"/>
    <cellStyle name="40% - 강조색4 2 13" xfId="1094"/>
    <cellStyle name="40% - 강조색4 2 14" xfId="1095"/>
    <cellStyle name="40% - 강조색4 2 2" xfId="1096"/>
    <cellStyle name="40% - 강조색4 2 3" xfId="1097"/>
    <cellStyle name="40% - 강조색4 2 4" xfId="1098"/>
    <cellStyle name="40% - 강조색4 2 5" xfId="1099"/>
    <cellStyle name="40% - 강조색4 2 6" xfId="1100"/>
    <cellStyle name="40% - 강조색4 2 7" xfId="1101"/>
    <cellStyle name="40% - 강조색4 2 8" xfId="1102"/>
    <cellStyle name="40% - 강조색4 2 9" xfId="1103"/>
    <cellStyle name="40% - 강조색4 3" xfId="1104"/>
    <cellStyle name="40% - 강조색4 3 10" xfId="1105"/>
    <cellStyle name="40% - 강조색4 3 11" xfId="1106"/>
    <cellStyle name="40% - 강조색4 3 12" xfId="1107"/>
    <cellStyle name="40% - 강조색4 3 13" xfId="1108"/>
    <cellStyle name="40% - 강조색4 3 2" xfId="1109"/>
    <cellStyle name="40% - 강조색4 3 2 2" xfId="1110"/>
    <cellStyle name="40% - 강조색4 3 2 3" xfId="1111"/>
    <cellStyle name="40% - 강조색4 3 2 4" xfId="1112"/>
    <cellStyle name="40% - 강조색4 3 3" xfId="1113"/>
    <cellStyle name="40% - 강조색4 3 4" xfId="1114"/>
    <cellStyle name="40% - 강조색4 3 5" xfId="1115"/>
    <cellStyle name="40% - 강조색4 3 6" xfId="1116"/>
    <cellStyle name="40% - 강조색4 3 7" xfId="1117"/>
    <cellStyle name="40% - 강조색4 3 8" xfId="1118"/>
    <cellStyle name="40% - 강조색4 3 9" xfId="1119"/>
    <cellStyle name="40% - 강조색4 4" xfId="1120"/>
    <cellStyle name="40% - 강조색4 4 2" xfId="1121"/>
    <cellStyle name="40% - 강조색4 4 3" xfId="1122"/>
    <cellStyle name="40% - 강조색4 4 4" xfId="1123"/>
    <cellStyle name="40% - 강조색4 4 5" xfId="1124"/>
    <cellStyle name="40% - 강조색4 4 6" xfId="1125"/>
    <cellStyle name="40% - 강조색4 4 7" xfId="1126"/>
    <cellStyle name="40% - 강조색4 4 8" xfId="1127"/>
    <cellStyle name="40% - 강조색4 5" xfId="1128"/>
    <cellStyle name="40% - 강조색4 5 10" xfId="1129"/>
    <cellStyle name="40% - 강조색4 5 11" xfId="1130"/>
    <cellStyle name="40% - 강조색4 5 12" xfId="1131"/>
    <cellStyle name="40% - 강조색4 5 13" xfId="1132"/>
    <cellStyle name="40% - 강조색4 5 14" xfId="1133"/>
    <cellStyle name="40% - 강조색4 5 15" xfId="1134"/>
    <cellStyle name="40% - 강조색4 5 16" xfId="1135"/>
    <cellStyle name="40% - 강조색4 5 17" xfId="1136"/>
    <cellStyle name="40% - 강조색4 5 2" xfId="1137"/>
    <cellStyle name="40% - 강조색4 5 3" xfId="1138"/>
    <cellStyle name="40% - 강조색4 5 4" xfId="1139"/>
    <cellStyle name="40% - 강조색4 5 5" xfId="1140"/>
    <cellStyle name="40% - 강조색4 5 6" xfId="1141"/>
    <cellStyle name="40% - 강조색4 5 7" xfId="1142"/>
    <cellStyle name="40% - 강조색4 5 8" xfId="1143"/>
    <cellStyle name="40% - 강조색4 5 9" xfId="1144"/>
    <cellStyle name="40% - 강조색4 6" xfId="1145"/>
    <cellStyle name="40% - 강조색4 6 2" xfId="1146"/>
    <cellStyle name="40% - 강조색4 6 3" xfId="1147"/>
    <cellStyle name="40% - 강조색4 6 4" xfId="1148"/>
    <cellStyle name="40% - 강조색4 7" xfId="1149"/>
    <cellStyle name="40% - 강조색4 8" xfId="1150"/>
    <cellStyle name="40% - 강조색4 9" xfId="1151"/>
    <cellStyle name="40% - 강조색5 10" xfId="1152"/>
    <cellStyle name="40% - 강조색5 10 2" xfId="1153"/>
    <cellStyle name="40% - 강조색5 11" xfId="1154"/>
    <cellStyle name="40% - 강조색5 11 2" xfId="1155"/>
    <cellStyle name="40% - 강조색5 12" xfId="1156"/>
    <cellStyle name="40% - 강조색5 12 2" xfId="1157"/>
    <cellStyle name="40% - 강조색5 13" xfId="1158"/>
    <cellStyle name="40% - 강조색5 13 2" xfId="1159"/>
    <cellStyle name="40% - 강조색5 14" xfId="1160"/>
    <cellStyle name="40% - 강조색5 14 2" xfId="1161"/>
    <cellStyle name="40% - 강조색5 15" xfId="1162"/>
    <cellStyle name="40% - 강조색5 15 2" xfId="1163"/>
    <cellStyle name="40% - 강조색5 16" xfId="1164"/>
    <cellStyle name="40% - 강조색5 16 2" xfId="1165"/>
    <cellStyle name="40% - 강조색5 17" xfId="1166"/>
    <cellStyle name="40% - 강조색5 17 2" xfId="1167"/>
    <cellStyle name="40% - 강조색5 18" xfId="1168"/>
    <cellStyle name="40% - 강조색5 19" xfId="1169"/>
    <cellStyle name="40% - 강조색5 2" xfId="1170"/>
    <cellStyle name="40% - 강조색5 2 10" xfId="1171"/>
    <cellStyle name="40% - 강조색5 2 11" xfId="1172"/>
    <cellStyle name="40% - 강조색5 2 12" xfId="1173"/>
    <cellStyle name="40% - 강조색5 2 13" xfId="1174"/>
    <cellStyle name="40% - 강조색5 2 14" xfId="1175"/>
    <cellStyle name="40% - 강조색5 2 2" xfId="1176"/>
    <cellStyle name="40% - 강조색5 2 3" xfId="1177"/>
    <cellStyle name="40% - 강조색5 2 4" xfId="1178"/>
    <cellStyle name="40% - 강조색5 2 5" xfId="1179"/>
    <cellStyle name="40% - 강조색5 2 6" xfId="1180"/>
    <cellStyle name="40% - 강조색5 2 7" xfId="1181"/>
    <cellStyle name="40% - 강조색5 2 8" xfId="1182"/>
    <cellStyle name="40% - 강조색5 2 9" xfId="1183"/>
    <cellStyle name="40% - 강조색5 3" xfId="1184"/>
    <cellStyle name="40% - 강조색5 3 10" xfId="1185"/>
    <cellStyle name="40% - 강조색5 3 11" xfId="1186"/>
    <cellStyle name="40% - 강조색5 3 12" xfId="1187"/>
    <cellStyle name="40% - 강조색5 3 13" xfId="1188"/>
    <cellStyle name="40% - 강조색5 3 2" xfId="1189"/>
    <cellStyle name="40% - 강조색5 3 2 2" xfId="1190"/>
    <cellStyle name="40% - 강조색5 3 2 3" xfId="1191"/>
    <cellStyle name="40% - 강조색5 3 2 4" xfId="1192"/>
    <cellStyle name="40% - 강조색5 3 3" xfId="1193"/>
    <cellStyle name="40% - 강조색5 3 4" xfId="1194"/>
    <cellStyle name="40% - 강조색5 3 5" xfId="1195"/>
    <cellStyle name="40% - 강조색5 3 6" xfId="1196"/>
    <cellStyle name="40% - 강조색5 3 7" xfId="1197"/>
    <cellStyle name="40% - 강조색5 3 8" xfId="1198"/>
    <cellStyle name="40% - 강조색5 3 9" xfId="1199"/>
    <cellStyle name="40% - 강조색5 4" xfId="1200"/>
    <cellStyle name="40% - 강조색5 4 2" xfId="1201"/>
    <cellStyle name="40% - 강조색5 4 3" xfId="1202"/>
    <cellStyle name="40% - 강조색5 4 4" xfId="1203"/>
    <cellStyle name="40% - 강조색5 4 5" xfId="1204"/>
    <cellStyle name="40% - 강조색5 4 6" xfId="1205"/>
    <cellStyle name="40% - 강조색5 4 7" xfId="1206"/>
    <cellStyle name="40% - 강조색5 4 8" xfId="1207"/>
    <cellStyle name="40% - 강조색5 5" xfId="1208"/>
    <cellStyle name="40% - 강조색5 5 10" xfId="1209"/>
    <cellStyle name="40% - 강조색5 5 11" xfId="1210"/>
    <cellStyle name="40% - 강조색5 5 12" xfId="1211"/>
    <cellStyle name="40% - 강조색5 5 13" xfId="1212"/>
    <cellStyle name="40% - 강조색5 5 14" xfId="1213"/>
    <cellStyle name="40% - 강조색5 5 15" xfId="1214"/>
    <cellStyle name="40% - 강조색5 5 16" xfId="1215"/>
    <cellStyle name="40% - 강조색5 5 17" xfId="1216"/>
    <cellStyle name="40% - 강조색5 5 2" xfId="1217"/>
    <cellStyle name="40% - 강조색5 5 3" xfId="1218"/>
    <cellStyle name="40% - 강조색5 5 4" xfId="1219"/>
    <cellStyle name="40% - 강조색5 5 5" xfId="1220"/>
    <cellStyle name="40% - 강조색5 5 6" xfId="1221"/>
    <cellStyle name="40% - 강조색5 5 7" xfId="1222"/>
    <cellStyle name="40% - 강조색5 5 8" xfId="1223"/>
    <cellStyle name="40% - 강조색5 5 9" xfId="1224"/>
    <cellStyle name="40% - 강조색5 6" xfId="1225"/>
    <cellStyle name="40% - 강조색5 6 2" xfId="1226"/>
    <cellStyle name="40% - 강조색5 6 3" xfId="1227"/>
    <cellStyle name="40% - 강조색5 6 4" xfId="1228"/>
    <cellStyle name="40% - 강조색5 7" xfId="1229"/>
    <cellStyle name="40% - 강조색5 8" xfId="1230"/>
    <cellStyle name="40% - 강조색5 9" xfId="1231"/>
    <cellStyle name="40% - 강조색6 10" xfId="1232"/>
    <cellStyle name="40% - 강조색6 10 2" xfId="1233"/>
    <cellStyle name="40% - 강조색6 11" xfId="1234"/>
    <cellStyle name="40% - 강조색6 11 2" xfId="1235"/>
    <cellStyle name="40% - 강조색6 12" xfId="1236"/>
    <cellStyle name="40% - 강조색6 12 2" xfId="1237"/>
    <cellStyle name="40% - 강조색6 13" xfId="1238"/>
    <cellStyle name="40% - 강조색6 13 2" xfId="1239"/>
    <cellStyle name="40% - 강조색6 14" xfId="1240"/>
    <cellStyle name="40% - 강조색6 14 2" xfId="1241"/>
    <cellStyle name="40% - 강조색6 15" xfId="1242"/>
    <cellStyle name="40% - 강조색6 15 2" xfId="1243"/>
    <cellStyle name="40% - 강조색6 16" xfId="1244"/>
    <cellStyle name="40% - 강조색6 16 2" xfId="1245"/>
    <cellStyle name="40% - 강조색6 17" xfId="1246"/>
    <cellStyle name="40% - 강조색6 17 2" xfId="1247"/>
    <cellStyle name="40% - 강조색6 18" xfId="1248"/>
    <cellStyle name="40% - 강조색6 19" xfId="1249"/>
    <cellStyle name="40% - 강조색6 2" xfId="1250"/>
    <cellStyle name="40% - 강조색6 2 10" xfId="1251"/>
    <cellStyle name="40% - 강조색6 2 11" xfId="1252"/>
    <cellStyle name="40% - 강조색6 2 12" xfId="1253"/>
    <cellStyle name="40% - 강조색6 2 13" xfId="1254"/>
    <cellStyle name="40% - 강조색6 2 14" xfId="1255"/>
    <cellStyle name="40% - 강조색6 2 2" xfId="1256"/>
    <cellStyle name="40% - 강조색6 2 3" xfId="1257"/>
    <cellStyle name="40% - 강조색6 2 4" xfId="1258"/>
    <cellStyle name="40% - 강조색6 2 5" xfId="1259"/>
    <cellStyle name="40% - 강조색6 2 6" xfId="1260"/>
    <cellStyle name="40% - 강조색6 2 7" xfId="1261"/>
    <cellStyle name="40% - 강조색6 2 8" xfId="1262"/>
    <cellStyle name="40% - 강조색6 2 9" xfId="1263"/>
    <cellStyle name="40% - 강조색6 3" xfId="1264"/>
    <cellStyle name="40% - 강조색6 3 10" xfId="1265"/>
    <cellStyle name="40% - 강조색6 3 11" xfId="1266"/>
    <cellStyle name="40% - 강조색6 3 12" xfId="1267"/>
    <cellStyle name="40% - 강조색6 3 13" xfId="1268"/>
    <cellStyle name="40% - 강조색6 3 2" xfId="1269"/>
    <cellStyle name="40% - 강조색6 3 2 2" xfId="1270"/>
    <cellStyle name="40% - 강조색6 3 2 3" xfId="1271"/>
    <cellStyle name="40% - 강조색6 3 2 4" xfId="1272"/>
    <cellStyle name="40% - 강조색6 3 3" xfId="1273"/>
    <cellStyle name="40% - 강조색6 3 4" xfId="1274"/>
    <cellStyle name="40% - 강조색6 3 5" xfId="1275"/>
    <cellStyle name="40% - 강조색6 3 6" xfId="1276"/>
    <cellStyle name="40% - 강조색6 3 7" xfId="1277"/>
    <cellStyle name="40% - 강조색6 3 8" xfId="1278"/>
    <cellStyle name="40% - 강조색6 3 9" xfId="1279"/>
    <cellStyle name="40% - 강조색6 4" xfId="1280"/>
    <cellStyle name="40% - 강조색6 4 2" xfId="1281"/>
    <cellStyle name="40% - 강조색6 4 3" xfId="1282"/>
    <cellStyle name="40% - 강조색6 4 4" xfId="1283"/>
    <cellStyle name="40% - 강조색6 4 5" xfId="1284"/>
    <cellStyle name="40% - 강조색6 4 6" xfId="1285"/>
    <cellStyle name="40% - 강조색6 4 7" xfId="1286"/>
    <cellStyle name="40% - 강조색6 4 8" xfId="1287"/>
    <cellStyle name="40% - 강조색6 5" xfId="1288"/>
    <cellStyle name="40% - 강조색6 5 10" xfId="1289"/>
    <cellStyle name="40% - 강조색6 5 11" xfId="1290"/>
    <cellStyle name="40% - 강조색6 5 12" xfId="1291"/>
    <cellStyle name="40% - 강조색6 5 13" xfId="1292"/>
    <cellStyle name="40% - 강조색6 5 14" xfId="1293"/>
    <cellStyle name="40% - 강조색6 5 15" xfId="1294"/>
    <cellStyle name="40% - 강조색6 5 16" xfId="1295"/>
    <cellStyle name="40% - 강조색6 5 17" xfId="1296"/>
    <cellStyle name="40% - 강조색6 5 2" xfId="1297"/>
    <cellStyle name="40% - 강조색6 5 3" xfId="1298"/>
    <cellStyle name="40% - 강조색6 5 4" xfId="1299"/>
    <cellStyle name="40% - 강조색6 5 5" xfId="1300"/>
    <cellStyle name="40% - 강조색6 5 6" xfId="1301"/>
    <cellStyle name="40% - 강조색6 5 7" xfId="1302"/>
    <cellStyle name="40% - 강조색6 5 8" xfId="1303"/>
    <cellStyle name="40% - 강조색6 5 9" xfId="1304"/>
    <cellStyle name="40% - 강조색6 6" xfId="1305"/>
    <cellStyle name="40% - 강조색6 6 2" xfId="1306"/>
    <cellStyle name="40% - 강조색6 6 3" xfId="1307"/>
    <cellStyle name="40% - 강조색6 6 4" xfId="1308"/>
    <cellStyle name="40% - 강조색6 7" xfId="1309"/>
    <cellStyle name="40% - 강조색6 8" xfId="1310"/>
    <cellStyle name="40% - 강조색6 9" xfId="1311"/>
    <cellStyle name="60% - Accent1" xfId="1312"/>
    <cellStyle name="60% - Accent1 2" xfId="1313"/>
    <cellStyle name="60% - Accent1 3" xfId="1314"/>
    <cellStyle name="60% - Accent1 4" xfId="1315"/>
    <cellStyle name="60% - Accent1 5" xfId="1316"/>
    <cellStyle name="60% - Accent1 6" xfId="1317"/>
    <cellStyle name="60% - Accent2" xfId="1318"/>
    <cellStyle name="60% - Accent2 2" xfId="1319"/>
    <cellStyle name="60% - Accent2 3" xfId="1320"/>
    <cellStyle name="60% - Accent2 4" xfId="1321"/>
    <cellStyle name="60% - Accent2 5" xfId="1322"/>
    <cellStyle name="60% - Accent2 6" xfId="1323"/>
    <cellStyle name="60% - Accent3" xfId="1324"/>
    <cellStyle name="60% - Accent3 2" xfId="1325"/>
    <cellStyle name="60% - Accent3 3" xfId="1326"/>
    <cellStyle name="60% - Accent3 4" xfId="1327"/>
    <cellStyle name="60% - Accent3 5" xfId="1328"/>
    <cellStyle name="60% - Accent3 6" xfId="1329"/>
    <cellStyle name="60% - Accent4" xfId="1330"/>
    <cellStyle name="60% - Accent4 2" xfId="1331"/>
    <cellStyle name="60% - Accent4 3" xfId="1332"/>
    <cellStyle name="60% - Accent4 4" xfId="1333"/>
    <cellStyle name="60% - Accent4 5" xfId="1334"/>
    <cellStyle name="60% - Accent4 6" xfId="1335"/>
    <cellStyle name="60% - Accent5" xfId="1336"/>
    <cellStyle name="60% - Accent5 2" xfId="1337"/>
    <cellStyle name="60% - Accent5 3" xfId="1338"/>
    <cellStyle name="60% - Accent5 4" xfId="1339"/>
    <cellStyle name="60% - Accent5 5" xfId="1340"/>
    <cellStyle name="60% - Accent5 6" xfId="1341"/>
    <cellStyle name="60% - Accent6" xfId="1342"/>
    <cellStyle name="60% - Accent6 2" xfId="1343"/>
    <cellStyle name="60% - Accent6 3" xfId="1344"/>
    <cellStyle name="60% - Accent6 4" xfId="1345"/>
    <cellStyle name="60% - Accent6 5" xfId="1346"/>
    <cellStyle name="60% - Accent6 6" xfId="1347"/>
    <cellStyle name="60% - 강조색1 10" xfId="1348"/>
    <cellStyle name="60% - 강조색1 10 2" xfId="1349"/>
    <cellStyle name="60% - 강조색1 11" xfId="1350"/>
    <cellStyle name="60% - 강조색1 11 2" xfId="1351"/>
    <cellStyle name="60% - 강조색1 12" xfId="1352"/>
    <cellStyle name="60% - 강조색1 12 2" xfId="1353"/>
    <cellStyle name="60% - 강조색1 13" xfId="1354"/>
    <cellStyle name="60% - 강조색1 13 2" xfId="1355"/>
    <cellStyle name="60% - 강조색1 14" xfId="1356"/>
    <cellStyle name="60% - 강조색1 15" xfId="1357"/>
    <cellStyle name="60% - 강조색1 2" xfId="1358"/>
    <cellStyle name="60% - 강조색1 2 10" xfId="1359"/>
    <cellStyle name="60% - 강조색1 2 11" xfId="1360"/>
    <cellStyle name="60% - 강조색1 2 12" xfId="1361"/>
    <cellStyle name="60% - 강조색1 2 13" xfId="1362"/>
    <cellStyle name="60% - 강조색1 2 14" xfId="1363"/>
    <cellStyle name="60% - 강조색1 2 2" xfId="1364"/>
    <cellStyle name="60% - 강조색1 2 3" xfId="1365"/>
    <cellStyle name="60% - 강조색1 2 4" xfId="1366"/>
    <cellStyle name="60% - 강조색1 2 5" xfId="1367"/>
    <cellStyle name="60% - 강조색1 2 6" xfId="1368"/>
    <cellStyle name="60% - 강조색1 2 7" xfId="1369"/>
    <cellStyle name="60% - 강조색1 2 8" xfId="1370"/>
    <cellStyle name="60% - 강조색1 2 9" xfId="1371"/>
    <cellStyle name="60% - 강조색1 3" xfId="1372"/>
    <cellStyle name="60% - 강조색1 3 10" xfId="1373"/>
    <cellStyle name="60% - 강조색1 3 2" xfId="1374"/>
    <cellStyle name="60% - 강조색1 3 2 2" xfId="1375"/>
    <cellStyle name="60% - 강조색1 3 2 3" xfId="1376"/>
    <cellStyle name="60% - 강조색1 3 2 4" xfId="1377"/>
    <cellStyle name="60% - 강조색1 3 3" xfId="1378"/>
    <cellStyle name="60% - 강조색1 3 4" xfId="1379"/>
    <cellStyle name="60% - 강조색1 3 5" xfId="1380"/>
    <cellStyle name="60% - 강조색1 3 6" xfId="1381"/>
    <cellStyle name="60% - 강조색1 3 7" xfId="1382"/>
    <cellStyle name="60% - 강조색1 3 8" xfId="1383"/>
    <cellStyle name="60% - 강조색1 3 9" xfId="1384"/>
    <cellStyle name="60% - 강조색1 4" xfId="1385"/>
    <cellStyle name="60% - 강조색1 4 2" xfId="1386"/>
    <cellStyle name="60% - 강조색1 4 3" xfId="1387"/>
    <cellStyle name="60% - 강조색1 4 4" xfId="1388"/>
    <cellStyle name="60% - 강조색1 5" xfId="1389"/>
    <cellStyle name="60% - 강조색1 5 10" xfId="1390"/>
    <cellStyle name="60% - 강조색1 5 11" xfId="1391"/>
    <cellStyle name="60% - 강조색1 5 12" xfId="1392"/>
    <cellStyle name="60% - 강조색1 5 13" xfId="1393"/>
    <cellStyle name="60% - 강조색1 5 14" xfId="1394"/>
    <cellStyle name="60% - 강조색1 5 2" xfId="1395"/>
    <cellStyle name="60% - 강조색1 5 3" xfId="1396"/>
    <cellStyle name="60% - 강조색1 5 4" xfId="1397"/>
    <cellStyle name="60% - 강조색1 5 5" xfId="1398"/>
    <cellStyle name="60% - 강조색1 5 6" xfId="1399"/>
    <cellStyle name="60% - 강조색1 5 7" xfId="1400"/>
    <cellStyle name="60% - 강조색1 5 8" xfId="1401"/>
    <cellStyle name="60% - 강조색1 5 9" xfId="1402"/>
    <cellStyle name="60% - 강조색1 6" xfId="1403"/>
    <cellStyle name="60% - 강조색1 6 2" xfId="1404"/>
    <cellStyle name="60% - 강조색1 6 3" xfId="1405"/>
    <cellStyle name="60% - 강조색1 6 4" xfId="1406"/>
    <cellStyle name="60% - 강조색1 6 5" xfId="1407"/>
    <cellStyle name="60% - 강조색1 7" xfId="1408"/>
    <cellStyle name="60% - 강조색1 7 2" xfId="1409"/>
    <cellStyle name="60% - 강조색1 8" xfId="1410"/>
    <cellStyle name="60% - 강조색1 8 2" xfId="1411"/>
    <cellStyle name="60% - 강조색1 9" xfId="1412"/>
    <cellStyle name="60% - 강조색1 9 2" xfId="1413"/>
    <cellStyle name="60% - 강조색2 10" xfId="1414"/>
    <cellStyle name="60% - 강조색2 10 2" xfId="1415"/>
    <cellStyle name="60% - 강조색2 11" xfId="1416"/>
    <cellStyle name="60% - 강조색2 11 2" xfId="1417"/>
    <cellStyle name="60% - 강조색2 12" xfId="1418"/>
    <cellStyle name="60% - 강조색2 12 2" xfId="1419"/>
    <cellStyle name="60% - 강조색2 13" xfId="1420"/>
    <cellStyle name="60% - 강조색2 13 2" xfId="1421"/>
    <cellStyle name="60% - 강조색2 14" xfId="1422"/>
    <cellStyle name="60% - 강조색2 15" xfId="1423"/>
    <cellStyle name="60% - 강조색2 2" xfId="1424"/>
    <cellStyle name="60% - 강조색2 2 10" xfId="1425"/>
    <cellStyle name="60% - 강조색2 2 11" xfId="1426"/>
    <cellStyle name="60% - 강조색2 2 12" xfId="1427"/>
    <cellStyle name="60% - 강조색2 2 13" xfId="1428"/>
    <cellStyle name="60% - 강조색2 2 14" xfId="1429"/>
    <cellStyle name="60% - 강조색2 2 2" xfId="1430"/>
    <cellStyle name="60% - 강조색2 2 3" xfId="1431"/>
    <cellStyle name="60% - 강조색2 2 4" xfId="1432"/>
    <cellStyle name="60% - 강조색2 2 5" xfId="1433"/>
    <cellStyle name="60% - 강조색2 2 6" xfId="1434"/>
    <cellStyle name="60% - 강조색2 2 7" xfId="1435"/>
    <cellStyle name="60% - 강조색2 2 8" xfId="1436"/>
    <cellStyle name="60% - 강조색2 2 9" xfId="1437"/>
    <cellStyle name="60% - 강조색2 3" xfId="1438"/>
    <cellStyle name="60% - 강조색2 3 10" xfId="1439"/>
    <cellStyle name="60% - 강조색2 3 2" xfId="1440"/>
    <cellStyle name="60% - 강조색2 3 2 2" xfId="1441"/>
    <cellStyle name="60% - 강조색2 3 2 3" xfId="1442"/>
    <cellStyle name="60% - 강조색2 3 2 4" xfId="1443"/>
    <cellStyle name="60% - 강조색2 3 3" xfId="1444"/>
    <cellStyle name="60% - 강조색2 3 4" xfId="1445"/>
    <cellStyle name="60% - 강조색2 3 5" xfId="1446"/>
    <cellStyle name="60% - 강조색2 3 6" xfId="1447"/>
    <cellStyle name="60% - 강조색2 3 7" xfId="1448"/>
    <cellStyle name="60% - 강조색2 3 8" xfId="1449"/>
    <cellStyle name="60% - 강조색2 3 9" xfId="1450"/>
    <cellStyle name="60% - 강조색2 4" xfId="1451"/>
    <cellStyle name="60% - 강조색2 4 2" xfId="1452"/>
    <cellStyle name="60% - 강조색2 4 3" xfId="1453"/>
    <cellStyle name="60% - 강조색2 4 4" xfId="1454"/>
    <cellStyle name="60% - 강조색2 5" xfId="1455"/>
    <cellStyle name="60% - 강조색2 5 10" xfId="1456"/>
    <cellStyle name="60% - 강조색2 5 11" xfId="1457"/>
    <cellStyle name="60% - 강조색2 5 12" xfId="1458"/>
    <cellStyle name="60% - 강조색2 5 13" xfId="1459"/>
    <cellStyle name="60% - 강조색2 5 14" xfId="1460"/>
    <cellStyle name="60% - 강조색2 5 2" xfId="1461"/>
    <cellStyle name="60% - 강조색2 5 3" xfId="1462"/>
    <cellStyle name="60% - 강조색2 5 4" xfId="1463"/>
    <cellStyle name="60% - 강조색2 5 5" xfId="1464"/>
    <cellStyle name="60% - 강조색2 5 6" xfId="1465"/>
    <cellStyle name="60% - 강조색2 5 7" xfId="1466"/>
    <cellStyle name="60% - 강조색2 5 8" xfId="1467"/>
    <cellStyle name="60% - 강조색2 5 9" xfId="1468"/>
    <cellStyle name="60% - 강조색2 6" xfId="1469"/>
    <cellStyle name="60% - 강조색2 6 2" xfId="1470"/>
    <cellStyle name="60% - 강조색2 6 3" xfId="1471"/>
    <cellStyle name="60% - 강조색2 6 4" xfId="1472"/>
    <cellStyle name="60% - 강조색2 6 5" xfId="1473"/>
    <cellStyle name="60% - 강조색2 7" xfId="1474"/>
    <cellStyle name="60% - 강조색2 7 2" xfId="1475"/>
    <cellStyle name="60% - 강조색2 8" xfId="1476"/>
    <cellStyle name="60% - 강조색2 8 2" xfId="1477"/>
    <cellStyle name="60% - 강조색2 9" xfId="1478"/>
    <cellStyle name="60% - 강조색2 9 2" xfId="1479"/>
    <cellStyle name="60% - 강조색3 10" xfId="1480"/>
    <cellStyle name="60% - 강조색3 10 2" xfId="1481"/>
    <cellStyle name="60% - 강조색3 11" xfId="1482"/>
    <cellStyle name="60% - 강조색3 11 2" xfId="1483"/>
    <cellStyle name="60% - 강조색3 12" xfId="1484"/>
    <cellStyle name="60% - 강조색3 12 2" xfId="1485"/>
    <cellStyle name="60% - 강조색3 13" xfId="1486"/>
    <cellStyle name="60% - 강조색3 13 2" xfId="1487"/>
    <cellStyle name="60% - 강조색3 14" xfId="1488"/>
    <cellStyle name="60% - 강조색3 15" xfId="1489"/>
    <cellStyle name="60% - 강조색3 2" xfId="1490"/>
    <cellStyle name="60% - 강조색3 2 10" xfId="1491"/>
    <cellStyle name="60% - 강조색3 2 11" xfId="1492"/>
    <cellStyle name="60% - 강조색3 2 12" xfId="1493"/>
    <cellStyle name="60% - 강조색3 2 13" xfId="1494"/>
    <cellStyle name="60% - 강조색3 2 14" xfId="1495"/>
    <cellStyle name="60% - 강조색3 2 2" xfId="1496"/>
    <cellStyle name="60% - 강조색3 2 3" xfId="1497"/>
    <cellStyle name="60% - 강조색3 2 4" xfId="1498"/>
    <cellStyle name="60% - 강조색3 2 5" xfId="1499"/>
    <cellStyle name="60% - 강조색3 2 6" xfId="1500"/>
    <cellStyle name="60% - 강조색3 2 7" xfId="1501"/>
    <cellStyle name="60% - 강조색3 2 8" xfId="1502"/>
    <cellStyle name="60% - 강조색3 2 9" xfId="1503"/>
    <cellStyle name="60% - 강조색3 3" xfId="1504"/>
    <cellStyle name="60% - 강조색3 3 10" xfId="1505"/>
    <cellStyle name="60% - 강조색3 3 2" xfId="1506"/>
    <cellStyle name="60% - 강조색3 3 2 2" xfId="1507"/>
    <cellStyle name="60% - 강조색3 3 2 3" xfId="1508"/>
    <cellStyle name="60% - 강조색3 3 2 4" xfId="1509"/>
    <cellStyle name="60% - 강조색3 3 3" xfId="1510"/>
    <cellStyle name="60% - 강조색3 3 4" xfId="1511"/>
    <cellStyle name="60% - 강조색3 3 5" xfId="1512"/>
    <cellStyle name="60% - 강조색3 3 6" xfId="1513"/>
    <cellStyle name="60% - 강조색3 3 7" xfId="1514"/>
    <cellStyle name="60% - 강조색3 3 8" xfId="1515"/>
    <cellStyle name="60% - 강조색3 3 9" xfId="1516"/>
    <cellStyle name="60% - 강조색3 4" xfId="1517"/>
    <cellStyle name="60% - 강조색3 4 2" xfId="1518"/>
    <cellStyle name="60% - 강조색3 4 3" xfId="1519"/>
    <cellStyle name="60% - 강조색3 4 4" xfId="1520"/>
    <cellStyle name="60% - 강조색3 5" xfId="1521"/>
    <cellStyle name="60% - 강조색3 5 10" xfId="1522"/>
    <cellStyle name="60% - 강조색3 5 11" xfId="1523"/>
    <cellStyle name="60% - 강조색3 5 12" xfId="1524"/>
    <cellStyle name="60% - 강조색3 5 13" xfId="1525"/>
    <cellStyle name="60% - 강조색3 5 14" xfId="1526"/>
    <cellStyle name="60% - 강조색3 5 2" xfId="1527"/>
    <cellStyle name="60% - 강조색3 5 3" xfId="1528"/>
    <cellStyle name="60% - 강조색3 5 4" xfId="1529"/>
    <cellStyle name="60% - 강조색3 5 5" xfId="1530"/>
    <cellStyle name="60% - 강조색3 5 6" xfId="1531"/>
    <cellStyle name="60% - 강조색3 5 7" xfId="1532"/>
    <cellStyle name="60% - 강조색3 5 8" xfId="1533"/>
    <cellStyle name="60% - 강조색3 5 9" xfId="1534"/>
    <cellStyle name="60% - 강조색3 6" xfId="1535"/>
    <cellStyle name="60% - 강조색3 6 2" xfId="1536"/>
    <cellStyle name="60% - 강조색3 6 3" xfId="1537"/>
    <cellStyle name="60% - 강조색3 6 4" xfId="1538"/>
    <cellStyle name="60% - 강조색3 6 5" xfId="1539"/>
    <cellStyle name="60% - 강조색3 7" xfId="1540"/>
    <cellStyle name="60% - 강조색3 7 2" xfId="1541"/>
    <cellStyle name="60% - 강조색3 8" xfId="1542"/>
    <cellStyle name="60% - 강조색3 8 2" xfId="1543"/>
    <cellStyle name="60% - 강조색3 9" xfId="1544"/>
    <cellStyle name="60% - 강조색3 9 2" xfId="1545"/>
    <cellStyle name="60% - 강조색4 10" xfId="1546"/>
    <cellStyle name="60% - 강조색4 10 2" xfId="1547"/>
    <cellStyle name="60% - 강조색4 11" xfId="1548"/>
    <cellStyle name="60% - 강조색4 11 2" xfId="1549"/>
    <cellStyle name="60% - 강조색4 12" xfId="1550"/>
    <cellStyle name="60% - 강조색4 12 2" xfId="1551"/>
    <cellStyle name="60% - 강조색4 13" xfId="1552"/>
    <cellStyle name="60% - 강조색4 13 2" xfId="1553"/>
    <cellStyle name="60% - 강조색4 14" xfId="1554"/>
    <cellStyle name="60% - 강조색4 15" xfId="1555"/>
    <cellStyle name="60% - 강조색4 2" xfId="1556"/>
    <cellStyle name="60% - 강조색4 2 10" xfId="1557"/>
    <cellStyle name="60% - 강조색4 2 11" xfId="1558"/>
    <cellStyle name="60% - 강조색4 2 12" xfId="1559"/>
    <cellStyle name="60% - 강조색4 2 13" xfId="1560"/>
    <cellStyle name="60% - 강조색4 2 14" xfId="1561"/>
    <cellStyle name="60% - 강조색4 2 2" xfId="1562"/>
    <cellStyle name="60% - 강조색4 2 3" xfId="1563"/>
    <cellStyle name="60% - 강조색4 2 4" xfId="1564"/>
    <cellStyle name="60% - 강조색4 2 5" xfId="1565"/>
    <cellStyle name="60% - 강조색4 2 6" xfId="1566"/>
    <cellStyle name="60% - 강조색4 2 7" xfId="1567"/>
    <cellStyle name="60% - 강조색4 2 8" xfId="1568"/>
    <cellStyle name="60% - 강조색4 2 9" xfId="1569"/>
    <cellStyle name="60% - 강조색4 3" xfId="1570"/>
    <cellStyle name="60% - 강조색4 3 10" xfId="1571"/>
    <cellStyle name="60% - 강조색4 3 2" xfId="1572"/>
    <cellStyle name="60% - 강조색4 3 2 2" xfId="1573"/>
    <cellStyle name="60% - 강조색4 3 2 3" xfId="1574"/>
    <cellStyle name="60% - 강조색4 3 2 4" xfId="1575"/>
    <cellStyle name="60% - 강조색4 3 3" xfId="1576"/>
    <cellStyle name="60% - 강조색4 3 4" xfId="1577"/>
    <cellStyle name="60% - 강조색4 3 5" xfId="1578"/>
    <cellStyle name="60% - 강조색4 3 6" xfId="1579"/>
    <cellStyle name="60% - 강조색4 3 7" xfId="1580"/>
    <cellStyle name="60% - 강조색4 3 8" xfId="1581"/>
    <cellStyle name="60% - 강조색4 3 9" xfId="1582"/>
    <cellStyle name="60% - 강조색4 4" xfId="1583"/>
    <cellStyle name="60% - 강조색4 4 2" xfId="1584"/>
    <cellStyle name="60% - 강조색4 4 3" xfId="1585"/>
    <cellStyle name="60% - 강조색4 4 4" xfId="1586"/>
    <cellStyle name="60% - 강조색4 5" xfId="1587"/>
    <cellStyle name="60% - 강조색4 5 10" xfId="1588"/>
    <cellStyle name="60% - 강조색4 5 11" xfId="1589"/>
    <cellStyle name="60% - 강조색4 5 12" xfId="1590"/>
    <cellStyle name="60% - 강조색4 5 13" xfId="1591"/>
    <cellStyle name="60% - 강조색4 5 14" xfId="1592"/>
    <cellStyle name="60% - 강조색4 5 2" xfId="1593"/>
    <cellStyle name="60% - 강조색4 5 3" xfId="1594"/>
    <cellStyle name="60% - 강조색4 5 4" xfId="1595"/>
    <cellStyle name="60% - 강조색4 5 5" xfId="1596"/>
    <cellStyle name="60% - 강조색4 5 6" xfId="1597"/>
    <cellStyle name="60% - 강조색4 5 7" xfId="1598"/>
    <cellStyle name="60% - 강조색4 5 8" xfId="1599"/>
    <cellStyle name="60% - 강조색4 5 9" xfId="1600"/>
    <cellStyle name="60% - 강조색4 6" xfId="1601"/>
    <cellStyle name="60% - 강조색4 6 2" xfId="1602"/>
    <cellStyle name="60% - 강조색4 6 3" xfId="1603"/>
    <cellStyle name="60% - 강조색4 6 4" xfId="1604"/>
    <cellStyle name="60% - 강조색4 6 5" xfId="1605"/>
    <cellStyle name="60% - 강조색4 7" xfId="1606"/>
    <cellStyle name="60% - 강조색4 7 2" xfId="1607"/>
    <cellStyle name="60% - 강조색4 8" xfId="1608"/>
    <cellStyle name="60% - 강조색4 8 2" xfId="1609"/>
    <cellStyle name="60% - 강조색4 9" xfId="1610"/>
    <cellStyle name="60% - 강조색4 9 2" xfId="1611"/>
    <cellStyle name="60% - 강조색5 10" xfId="1612"/>
    <cellStyle name="60% - 강조색5 10 2" xfId="1613"/>
    <cellStyle name="60% - 강조색5 11" xfId="1614"/>
    <cellStyle name="60% - 강조색5 11 2" xfId="1615"/>
    <cellStyle name="60% - 강조색5 12" xfId="1616"/>
    <cellStyle name="60% - 강조색5 12 2" xfId="1617"/>
    <cellStyle name="60% - 강조색5 13" xfId="1618"/>
    <cellStyle name="60% - 강조색5 13 2" xfId="1619"/>
    <cellStyle name="60% - 강조색5 14" xfId="1620"/>
    <cellStyle name="60% - 강조색5 15" xfId="1621"/>
    <cellStyle name="60% - 강조색5 2" xfId="1622"/>
    <cellStyle name="60% - 강조색5 2 10" xfId="1623"/>
    <cellStyle name="60% - 강조색5 2 11" xfId="1624"/>
    <cellStyle name="60% - 강조색5 2 12" xfId="1625"/>
    <cellStyle name="60% - 강조색5 2 13" xfId="1626"/>
    <cellStyle name="60% - 강조색5 2 14" xfId="1627"/>
    <cellStyle name="60% - 강조색5 2 2" xfId="1628"/>
    <cellStyle name="60% - 강조색5 2 3" xfId="1629"/>
    <cellStyle name="60% - 강조색5 2 4" xfId="1630"/>
    <cellStyle name="60% - 강조색5 2 5" xfId="1631"/>
    <cellStyle name="60% - 강조색5 2 6" xfId="1632"/>
    <cellStyle name="60% - 강조색5 2 7" xfId="1633"/>
    <cellStyle name="60% - 강조색5 2 8" xfId="1634"/>
    <cellStyle name="60% - 강조색5 2 9" xfId="1635"/>
    <cellStyle name="60% - 강조색5 3" xfId="1636"/>
    <cellStyle name="60% - 강조색5 3 10" xfId="1637"/>
    <cellStyle name="60% - 강조색5 3 2" xfId="1638"/>
    <cellStyle name="60% - 강조색5 3 2 2" xfId="1639"/>
    <cellStyle name="60% - 강조색5 3 2 3" xfId="1640"/>
    <cellStyle name="60% - 강조색5 3 2 4" xfId="1641"/>
    <cellStyle name="60% - 강조색5 3 3" xfId="1642"/>
    <cellStyle name="60% - 강조색5 3 4" xfId="1643"/>
    <cellStyle name="60% - 강조색5 3 5" xfId="1644"/>
    <cellStyle name="60% - 강조색5 3 6" xfId="1645"/>
    <cellStyle name="60% - 강조색5 3 7" xfId="1646"/>
    <cellStyle name="60% - 강조색5 3 8" xfId="1647"/>
    <cellStyle name="60% - 강조색5 3 9" xfId="1648"/>
    <cellStyle name="60% - 강조색5 4" xfId="1649"/>
    <cellStyle name="60% - 강조색5 4 2" xfId="1650"/>
    <cellStyle name="60% - 강조색5 4 3" xfId="1651"/>
    <cellStyle name="60% - 강조색5 4 4" xfId="1652"/>
    <cellStyle name="60% - 강조색5 5" xfId="1653"/>
    <cellStyle name="60% - 강조색5 5 10" xfId="1654"/>
    <cellStyle name="60% - 강조색5 5 11" xfId="1655"/>
    <cellStyle name="60% - 강조색5 5 12" xfId="1656"/>
    <cellStyle name="60% - 강조색5 5 13" xfId="1657"/>
    <cellStyle name="60% - 강조색5 5 14" xfId="1658"/>
    <cellStyle name="60% - 강조색5 5 2" xfId="1659"/>
    <cellStyle name="60% - 강조색5 5 3" xfId="1660"/>
    <cellStyle name="60% - 강조색5 5 4" xfId="1661"/>
    <cellStyle name="60% - 강조색5 5 5" xfId="1662"/>
    <cellStyle name="60% - 강조색5 5 6" xfId="1663"/>
    <cellStyle name="60% - 강조색5 5 7" xfId="1664"/>
    <cellStyle name="60% - 강조색5 5 8" xfId="1665"/>
    <cellStyle name="60% - 강조색5 5 9" xfId="1666"/>
    <cellStyle name="60% - 강조색5 6" xfId="1667"/>
    <cellStyle name="60% - 강조색5 6 2" xfId="1668"/>
    <cellStyle name="60% - 강조색5 6 3" xfId="1669"/>
    <cellStyle name="60% - 강조색5 6 4" xfId="1670"/>
    <cellStyle name="60% - 강조색5 6 5" xfId="1671"/>
    <cellStyle name="60% - 강조색5 7" xfId="1672"/>
    <cellStyle name="60% - 강조색5 7 2" xfId="1673"/>
    <cellStyle name="60% - 강조색5 8" xfId="1674"/>
    <cellStyle name="60% - 강조색5 8 2" xfId="1675"/>
    <cellStyle name="60% - 강조색5 9" xfId="1676"/>
    <cellStyle name="60% - 강조색5 9 2" xfId="1677"/>
    <cellStyle name="60% - 강조색6 10" xfId="1678"/>
    <cellStyle name="60% - 강조색6 10 2" xfId="1679"/>
    <cellStyle name="60% - 강조색6 11" xfId="1680"/>
    <cellStyle name="60% - 강조색6 11 2" xfId="1681"/>
    <cellStyle name="60% - 강조색6 12" xfId="1682"/>
    <cellStyle name="60% - 강조색6 12 2" xfId="1683"/>
    <cellStyle name="60% - 강조색6 13" xfId="1684"/>
    <cellStyle name="60% - 강조색6 13 2" xfId="1685"/>
    <cellStyle name="60% - 강조색6 14" xfId="1686"/>
    <cellStyle name="60% - 강조색6 15" xfId="1687"/>
    <cellStyle name="60% - 강조색6 2" xfId="1688"/>
    <cellStyle name="60% - 강조색6 2 10" xfId="1689"/>
    <cellStyle name="60% - 강조색6 2 11" xfId="1690"/>
    <cellStyle name="60% - 강조색6 2 12" xfId="1691"/>
    <cellStyle name="60% - 강조색6 2 13" xfId="1692"/>
    <cellStyle name="60% - 강조색6 2 14" xfId="1693"/>
    <cellStyle name="60% - 강조색6 2 2" xfId="1694"/>
    <cellStyle name="60% - 강조색6 2 3" xfId="1695"/>
    <cellStyle name="60% - 강조색6 2 4" xfId="1696"/>
    <cellStyle name="60% - 강조색6 2 5" xfId="1697"/>
    <cellStyle name="60% - 강조색6 2 6" xfId="1698"/>
    <cellStyle name="60% - 강조색6 2 7" xfId="1699"/>
    <cellStyle name="60% - 강조색6 2 8" xfId="1700"/>
    <cellStyle name="60% - 강조색6 2 9" xfId="1701"/>
    <cellStyle name="60% - 강조색6 3" xfId="1702"/>
    <cellStyle name="60% - 강조색6 3 10" xfId="1703"/>
    <cellStyle name="60% - 강조색6 3 2" xfId="1704"/>
    <cellStyle name="60% - 강조색6 3 2 2" xfId="1705"/>
    <cellStyle name="60% - 강조색6 3 2 3" xfId="1706"/>
    <cellStyle name="60% - 강조색6 3 2 4" xfId="1707"/>
    <cellStyle name="60% - 강조색6 3 3" xfId="1708"/>
    <cellStyle name="60% - 강조색6 3 4" xfId="1709"/>
    <cellStyle name="60% - 강조색6 3 5" xfId="1710"/>
    <cellStyle name="60% - 강조색6 3 6" xfId="1711"/>
    <cellStyle name="60% - 강조색6 3 7" xfId="1712"/>
    <cellStyle name="60% - 강조색6 3 8" xfId="1713"/>
    <cellStyle name="60% - 강조색6 3 9" xfId="1714"/>
    <cellStyle name="60% - 강조색6 4" xfId="1715"/>
    <cellStyle name="60% - 강조색6 4 2" xfId="1716"/>
    <cellStyle name="60% - 강조색6 4 3" xfId="1717"/>
    <cellStyle name="60% - 강조색6 4 4" xfId="1718"/>
    <cellStyle name="60% - 강조색6 5" xfId="1719"/>
    <cellStyle name="60% - 강조색6 5 10" xfId="1720"/>
    <cellStyle name="60% - 강조색6 5 11" xfId="1721"/>
    <cellStyle name="60% - 강조색6 5 12" xfId="1722"/>
    <cellStyle name="60% - 강조색6 5 13" xfId="1723"/>
    <cellStyle name="60% - 강조색6 5 14" xfId="1724"/>
    <cellStyle name="60% - 강조색6 5 2" xfId="1725"/>
    <cellStyle name="60% - 강조색6 5 3" xfId="1726"/>
    <cellStyle name="60% - 강조색6 5 4" xfId="1727"/>
    <cellStyle name="60% - 강조색6 5 5" xfId="1728"/>
    <cellStyle name="60% - 강조색6 5 6" xfId="1729"/>
    <cellStyle name="60% - 강조색6 5 7" xfId="1730"/>
    <cellStyle name="60% - 강조색6 5 8" xfId="1731"/>
    <cellStyle name="60% - 강조색6 5 9" xfId="1732"/>
    <cellStyle name="60% - 강조색6 6" xfId="1733"/>
    <cellStyle name="60% - 강조색6 6 2" xfId="1734"/>
    <cellStyle name="60% - 강조색6 6 3" xfId="1735"/>
    <cellStyle name="60% - 강조색6 6 4" xfId="1736"/>
    <cellStyle name="60% - 강조색6 6 5" xfId="1737"/>
    <cellStyle name="60% - 강조색6 7" xfId="1738"/>
    <cellStyle name="60% - 강조색6 7 2" xfId="1739"/>
    <cellStyle name="60% - 강조색6 8" xfId="1740"/>
    <cellStyle name="60% - 강조색6 8 2" xfId="1741"/>
    <cellStyle name="60% - 강조색6 9" xfId="1742"/>
    <cellStyle name="60% - 강조색6 9 2" xfId="1743"/>
    <cellStyle name="Accent1" xfId="1744"/>
    <cellStyle name="Accent1 2" xfId="1745"/>
    <cellStyle name="Accent1 3" xfId="1746"/>
    <cellStyle name="Accent1 4" xfId="1747"/>
    <cellStyle name="Accent1 5" xfId="1748"/>
    <cellStyle name="Accent1 6" xfId="1749"/>
    <cellStyle name="Accent2" xfId="1750"/>
    <cellStyle name="Accent2 2" xfId="1751"/>
    <cellStyle name="Accent2 3" xfId="1752"/>
    <cellStyle name="Accent2 4" xfId="1753"/>
    <cellStyle name="Accent2 5" xfId="1754"/>
    <cellStyle name="Accent2 6" xfId="1755"/>
    <cellStyle name="Accent3" xfId="1756"/>
    <cellStyle name="Accent3 2" xfId="1757"/>
    <cellStyle name="Accent3 3" xfId="1758"/>
    <cellStyle name="Accent3 4" xfId="1759"/>
    <cellStyle name="Accent3 5" xfId="1760"/>
    <cellStyle name="Accent3 6" xfId="1761"/>
    <cellStyle name="Accent4" xfId="1762"/>
    <cellStyle name="Accent4 2" xfId="1763"/>
    <cellStyle name="Accent4 3" xfId="1764"/>
    <cellStyle name="Accent4 4" xfId="1765"/>
    <cellStyle name="Accent4 5" xfId="1766"/>
    <cellStyle name="Accent4 6" xfId="1767"/>
    <cellStyle name="Accent5" xfId="1768"/>
    <cellStyle name="Accent5 2" xfId="1769"/>
    <cellStyle name="Accent5 3" xfId="1770"/>
    <cellStyle name="Accent5 4" xfId="1771"/>
    <cellStyle name="Accent5 5" xfId="1772"/>
    <cellStyle name="Accent5 6" xfId="1773"/>
    <cellStyle name="Accent6" xfId="1774"/>
    <cellStyle name="Accent6 2" xfId="1775"/>
    <cellStyle name="Accent6 3" xfId="1776"/>
    <cellStyle name="Accent6 4" xfId="1777"/>
    <cellStyle name="Accent6 5" xfId="1778"/>
    <cellStyle name="Accent6 6" xfId="1779"/>
    <cellStyle name="Bad" xfId="1780"/>
    <cellStyle name="Bad 2" xfId="1781"/>
    <cellStyle name="Bad 3" xfId="1782"/>
    <cellStyle name="Bad 4" xfId="1783"/>
    <cellStyle name="Bad 5" xfId="1784"/>
    <cellStyle name="Bad 6" xfId="1785"/>
    <cellStyle name="Calculation" xfId="1786"/>
    <cellStyle name="Calculation 2" xfId="13"/>
    <cellStyle name="Calculation 2 2" xfId="1788"/>
    <cellStyle name="Calculation 2 3" xfId="1789"/>
    <cellStyle name="Calculation 2 4" xfId="1790"/>
    <cellStyle name="Calculation 2 5" xfId="1791"/>
    <cellStyle name="Calculation 2 6" xfId="1792"/>
    <cellStyle name="Calculation 2 7" xfId="1787"/>
    <cellStyle name="Calculation 3" xfId="1793"/>
    <cellStyle name="Calculation 4" xfId="1794"/>
    <cellStyle name="Calculation 5" xfId="1795"/>
    <cellStyle name="Calculation 6" xfId="1796"/>
    <cellStyle name="Calculation 7" xfId="1797"/>
    <cellStyle name="Check Cell" xfId="1798"/>
    <cellStyle name="Check Cell 2" xfId="1799"/>
    <cellStyle name="Check Cell 3" xfId="1800"/>
    <cellStyle name="Check Cell 4" xfId="1801"/>
    <cellStyle name="Check Cell 5" xfId="1802"/>
    <cellStyle name="Check Cell 6" xfId="1803"/>
    <cellStyle name="Explanatory Text" xfId="1804"/>
    <cellStyle name="Explanatory Text 2" xfId="1805"/>
    <cellStyle name="Explanatory Text 3" xfId="1806"/>
    <cellStyle name="Explanatory Text 4" xfId="1807"/>
    <cellStyle name="Explanatory Text 5" xfId="1808"/>
    <cellStyle name="Explanatory Text 6" xfId="1809"/>
    <cellStyle name="Good" xfId="1810"/>
    <cellStyle name="Good 2" xfId="1811"/>
    <cellStyle name="Good 3" xfId="1812"/>
    <cellStyle name="Good 4" xfId="1813"/>
    <cellStyle name="Good 5" xfId="1814"/>
    <cellStyle name="Good 6" xfId="1815"/>
    <cellStyle name="Heading 1" xfId="1816"/>
    <cellStyle name="Heading 1 2" xfId="1817"/>
    <cellStyle name="Heading 1 3" xfId="1818"/>
    <cellStyle name="Heading 1 4" xfId="1819"/>
    <cellStyle name="Heading 1 5" xfId="1820"/>
    <cellStyle name="Heading 1 6" xfId="1821"/>
    <cellStyle name="Heading 2" xfId="1822"/>
    <cellStyle name="Heading 2 2" xfId="1823"/>
    <cellStyle name="Heading 2 3" xfId="1824"/>
    <cellStyle name="Heading 2 4" xfId="1825"/>
    <cellStyle name="Heading 2 5" xfId="1826"/>
    <cellStyle name="Heading 2 6" xfId="1827"/>
    <cellStyle name="Heading 3" xfId="1828"/>
    <cellStyle name="Heading 3 2" xfId="1829"/>
    <cellStyle name="Heading 3 3" xfId="1830"/>
    <cellStyle name="Heading 3 4" xfId="1831"/>
    <cellStyle name="Heading 3 5" xfId="1832"/>
    <cellStyle name="Heading 3 6" xfId="1833"/>
    <cellStyle name="Heading 4" xfId="1834"/>
    <cellStyle name="Heading 4 2" xfId="1835"/>
    <cellStyle name="Heading 4 3" xfId="1836"/>
    <cellStyle name="Heading 4 4" xfId="1837"/>
    <cellStyle name="Heading 4 5" xfId="1838"/>
    <cellStyle name="Heading 4 6" xfId="1839"/>
    <cellStyle name="Input" xfId="1840"/>
    <cellStyle name="Input 2" xfId="1841"/>
    <cellStyle name="Input 3" xfId="1842"/>
    <cellStyle name="Input 4" xfId="1843"/>
    <cellStyle name="Input 5" xfId="1844"/>
    <cellStyle name="Input 6" xfId="1845"/>
    <cellStyle name="Linked Cell" xfId="1846"/>
    <cellStyle name="Linked Cell 2" xfId="1847"/>
    <cellStyle name="Linked Cell 3" xfId="1848"/>
    <cellStyle name="Linked Cell 4" xfId="1849"/>
    <cellStyle name="Linked Cell 5" xfId="1850"/>
    <cellStyle name="Linked Cell 6" xfId="1851"/>
    <cellStyle name="Neutral" xfId="1852"/>
    <cellStyle name="Neutral 2" xfId="1853"/>
    <cellStyle name="Neutral 3" xfId="1854"/>
    <cellStyle name="Neutral 4" xfId="1855"/>
    <cellStyle name="Neutral 5" xfId="1856"/>
    <cellStyle name="Neutral 6" xfId="1857"/>
    <cellStyle name="Normal 2" xfId="1"/>
    <cellStyle name="Normal 2 2" xfId="14"/>
    <cellStyle name="Normal 2 3" xfId="15"/>
    <cellStyle name="Normal 2 4" xfId="1858"/>
    <cellStyle name="Normal 3" xfId="1859"/>
    <cellStyle name="Normal 3 2" xfId="1860"/>
    <cellStyle name="Normal 4" xfId="1861"/>
    <cellStyle name="Normal 5" xfId="1862"/>
    <cellStyle name="Normal_5B2_CDS_Timing_06nov08" xfId="1863"/>
    <cellStyle name="Note" xfId="1864"/>
    <cellStyle name="Note 2" xfId="16"/>
    <cellStyle name="Note 2 2" xfId="170"/>
    <cellStyle name="Note 2 2 2" xfId="175"/>
    <cellStyle name="Note 2 2 2 2" xfId="180"/>
    <cellStyle name="Note 2 2 2 2 2" xfId="195"/>
    <cellStyle name="Note 2 2 2 2 2 2" xfId="213"/>
    <cellStyle name="Note 2 2 2 2 3" xfId="214"/>
    <cellStyle name="Note 2 2 2 3" xfId="186"/>
    <cellStyle name="Note 2 2 2 3 2" xfId="196"/>
    <cellStyle name="Note 2 2 2 3 2 2" xfId="215"/>
    <cellStyle name="Note 2 2 2 3 3" xfId="216"/>
    <cellStyle name="Note 2 2 2 4" xfId="193"/>
    <cellStyle name="Note 2 2 2 4 2" xfId="217"/>
    <cellStyle name="Note 2 2 2 4 3" xfId="218"/>
    <cellStyle name="Note 2 2 2 5" xfId="197"/>
    <cellStyle name="Note 2 2 2 5 2" xfId="219"/>
    <cellStyle name="Note 2 2 2 6" xfId="220"/>
    <cellStyle name="Note 2 2 2 7" xfId="221"/>
    <cellStyle name="Note 2 2 3" xfId="177"/>
    <cellStyle name="Note 2 2 3 2" xfId="198"/>
    <cellStyle name="Note 2 2 3 2 2" xfId="222"/>
    <cellStyle name="Note 2 2 3 3" xfId="223"/>
    <cellStyle name="Note 2 2 4" xfId="184"/>
    <cellStyle name="Note 2 2 4 2" xfId="199"/>
    <cellStyle name="Note 2 2 4 2 2" xfId="224"/>
    <cellStyle name="Note 2 2 4 3" xfId="225"/>
    <cellStyle name="Note 2 2 5" xfId="185"/>
    <cellStyle name="Note 2 2 5 2" xfId="226"/>
    <cellStyle name="Note 2 2 5 3" xfId="227"/>
    <cellStyle name="Note 2 2 6" xfId="200"/>
    <cellStyle name="Note 2 2 6 2" xfId="228"/>
    <cellStyle name="Note 2 2 7" xfId="229"/>
    <cellStyle name="Note 2 2 8" xfId="230"/>
    <cellStyle name="Note 2 3" xfId="173"/>
    <cellStyle name="Note 2 3 2" xfId="182"/>
    <cellStyle name="Note 2 3 2 2" xfId="201"/>
    <cellStyle name="Note 2 3 2 2 2" xfId="231"/>
    <cellStyle name="Note 2 3 2 3" xfId="232"/>
    <cellStyle name="Note 2 3 3" xfId="188"/>
    <cellStyle name="Note 2 3 3 2" xfId="202"/>
    <cellStyle name="Note 2 3 3 2 2" xfId="233"/>
    <cellStyle name="Note 2 3 3 3" xfId="234"/>
    <cellStyle name="Note 2 3 4" xfId="191"/>
    <cellStyle name="Note 2 3 4 2" xfId="235"/>
    <cellStyle name="Note 2 3 4 3" xfId="236"/>
    <cellStyle name="Note 2 3 5" xfId="203"/>
    <cellStyle name="Note 2 3 5 2" xfId="237"/>
    <cellStyle name="Note 2 3 6" xfId="238"/>
    <cellStyle name="Note 2 3 7" xfId="239"/>
    <cellStyle name="Note 2 4" xfId="1865"/>
    <cellStyle name="Note 3" xfId="17"/>
    <cellStyle name="Note 3 2" xfId="171"/>
    <cellStyle name="Note 3 2 2" xfId="176"/>
    <cellStyle name="Note 3 2 2 2" xfId="179"/>
    <cellStyle name="Note 3 2 2 2 2" xfId="204"/>
    <cellStyle name="Note 3 2 2 2 2 2" xfId="240"/>
    <cellStyle name="Note 3 2 2 2 3" xfId="241"/>
    <cellStyle name="Note 3 2 2 3" xfId="178"/>
    <cellStyle name="Note 3 2 2 3 2" xfId="205"/>
    <cellStyle name="Note 3 2 2 3 2 2" xfId="242"/>
    <cellStyle name="Note 3 2 2 3 3" xfId="243"/>
    <cellStyle name="Note 3 2 2 4" xfId="194"/>
    <cellStyle name="Note 3 2 2 4 2" xfId="244"/>
    <cellStyle name="Note 3 2 2 4 3" xfId="245"/>
    <cellStyle name="Note 3 2 2 5" xfId="206"/>
    <cellStyle name="Note 3 2 2 5 2" xfId="246"/>
    <cellStyle name="Note 3 2 2 6" xfId="247"/>
    <cellStyle name="Note 3 2 2 7" xfId="248"/>
    <cellStyle name="Note 3 2 3" xfId="183"/>
    <cellStyle name="Note 3 2 3 2" xfId="207"/>
    <cellStyle name="Note 3 2 3 2 2" xfId="249"/>
    <cellStyle name="Note 3 2 3 3" xfId="250"/>
    <cellStyle name="Note 3 2 4" xfId="187"/>
    <cellStyle name="Note 3 2 4 2" xfId="208"/>
    <cellStyle name="Note 3 2 4 2 2" xfId="251"/>
    <cellStyle name="Note 3 2 4 3" xfId="252"/>
    <cellStyle name="Note 3 2 5" xfId="190"/>
    <cellStyle name="Note 3 2 5 2" xfId="253"/>
    <cellStyle name="Note 3 2 5 3" xfId="254"/>
    <cellStyle name="Note 3 2 6" xfId="209"/>
    <cellStyle name="Note 3 2 6 2" xfId="255"/>
    <cellStyle name="Note 3 2 7" xfId="256"/>
    <cellStyle name="Note 3 2 8" xfId="257"/>
    <cellStyle name="Note 3 3" xfId="174"/>
    <cellStyle name="Note 3 3 2" xfId="181"/>
    <cellStyle name="Note 3 3 2 2" xfId="210"/>
    <cellStyle name="Note 3 3 2 2 2" xfId="258"/>
    <cellStyle name="Note 3 3 2 3" xfId="259"/>
    <cellStyle name="Note 3 3 3" xfId="189"/>
    <cellStyle name="Note 3 3 3 2" xfId="211"/>
    <cellStyle name="Note 3 3 3 2 2" xfId="260"/>
    <cellStyle name="Note 3 3 3 3" xfId="261"/>
    <cellStyle name="Note 3 3 4" xfId="192"/>
    <cellStyle name="Note 3 3 4 2" xfId="262"/>
    <cellStyle name="Note 3 3 4 3" xfId="263"/>
    <cellStyle name="Note 3 3 5" xfId="212"/>
    <cellStyle name="Note 3 3 5 2" xfId="264"/>
    <cellStyle name="Note 3 3 6" xfId="265"/>
    <cellStyle name="Note 3 3 7" xfId="266"/>
    <cellStyle name="Note 3 4" xfId="1866"/>
    <cellStyle name="Note 4" xfId="1867"/>
    <cellStyle name="Note 4 2" xfId="1868"/>
    <cellStyle name="Note 5" xfId="1869"/>
    <cellStyle name="Note 6" xfId="1870"/>
    <cellStyle name="Note 7" xfId="1871"/>
    <cellStyle name="Note 8" xfId="1872"/>
    <cellStyle name="Note 9" xfId="1873"/>
    <cellStyle name="Output" xfId="1874"/>
    <cellStyle name="Output 2" xfId="1875"/>
    <cellStyle name="Output 3" xfId="1876"/>
    <cellStyle name="Output 4" xfId="1877"/>
    <cellStyle name="Output 5" xfId="1878"/>
    <cellStyle name="Output 6" xfId="1879"/>
    <cellStyle name="Title" xfId="1880"/>
    <cellStyle name="Title 2" xfId="1881"/>
    <cellStyle name="Title 3" xfId="1882"/>
    <cellStyle name="Title 4" xfId="1883"/>
    <cellStyle name="Title 5" xfId="1884"/>
    <cellStyle name="Title 6" xfId="1885"/>
    <cellStyle name="Total" xfId="1886"/>
    <cellStyle name="Total 2" xfId="1887"/>
    <cellStyle name="Total 3" xfId="1888"/>
    <cellStyle name="Total 4" xfId="1889"/>
    <cellStyle name="Total 5" xfId="1890"/>
    <cellStyle name="Total 6" xfId="1891"/>
    <cellStyle name="Warning Text" xfId="1892"/>
    <cellStyle name="Warning Text 2" xfId="1893"/>
    <cellStyle name="Warning Text 3" xfId="1894"/>
    <cellStyle name="Warning Text 4" xfId="1895"/>
    <cellStyle name="Warning Text 5" xfId="1896"/>
    <cellStyle name="Warning Text 6" xfId="1897"/>
    <cellStyle name="강조색1 10" xfId="1898"/>
    <cellStyle name="강조색1 10 2" xfId="1899"/>
    <cellStyle name="강조색1 11" xfId="1900"/>
    <cellStyle name="강조색1 11 2" xfId="1901"/>
    <cellStyle name="강조색1 12" xfId="1902"/>
    <cellStyle name="강조색1 12 2" xfId="1903"/>
    <cellStyle name="강조색1 13" xfId="1904"/>
    <cellStyle name="강조색1 13 2" xfId="1905"/>
    <cellStyle name="강조색1 14" xfId="1906"/>
    <cellStyle name="강조색1 15" xfId="1907"/>
    <cellStyle name="강조색1 2" xfId="1908"/>
    <cellStyle name="강조색1 2 10" xfId="1909"/>
    <cellStyle name="강조색1 2 11" xfId="1910"/>
    <cellStyle name="강조색1 2 12" xfId="1911"/>
    <cellStyle name="강조색1 2 13" xfId="1912"/>
    <cellStyle name="강조색1 2 14" xfId="1913"/>
    <cellStyle name="강조색1 2 2" xfId="1914"/>
    <cellStyle name="강조색1 2 3" xfId="1915"/>
    <cellStyle name="강조색1 2 4" xfId="1916"/>
    <cellStyle name="강조색1 2 5" xfId="1917"/>
    <cellStyle name="강조색1 2 6" xfId="1918"/>
    <cellStyle name="강조색1 2 7" xfId="1919"/>
    <cellStyle name="강조색1 2 8" xfId="1920"/>
    <cellStyle name="강조색1 2 9" xfId="1921"/>
    <cellStyle name="강조색1 3" xfId="1922"/>
    <cellStyle name="강조색1 3 10" xfId="1923"/>
    <cellStyle name="강조색1 3 2" xfId="1924"/>
    <cellStyle name="강조색1 3 2 2" xfId="1925"/>
    <cellStyle name="강조색1 3 2 3" xfId="1926"/>
    <cellStyle name="강조색1 3 2 4" xfId="1927"/>
    <cellStyle name="강조색1 3 3" xfId="1928"/>
    <cellStyle name="강조색1 3 4" xfId="1929"/>
    <cellStyle name="강조색1 3 5" xfId="1930"/>
    <cellStyle name="강조색1 3 6" xfId="1931"/>
    <cellStyle name="강조색1 3 7" xfId="1932"/>
    <cellStyle name="강조색1 3 8" xfId="1933"/>
    <cellStyle name="강조색1 3 9" xfId="1934"/>
    <cellStyle name="강조색1 4" xfId="1935"/>
    <cellStyle name="강조색1 4 2" xfId="1936"/>
    <cellStyle name="강조색1 4 3" xfId="1937"/>
    <cellStyle name="강조색1 4 4" xfId="1938"/>
    <cellStyle name="강조색1 5" xfId="1939"/>
    <cellStyle name="강조색1 5 10" xfId="1940"/>
    <cellStyle name="강조색1 5 11" xfId="1941"/>
    <cellStyle name="강조색1 5 12" xfId="1942"/>
    <cellStyle name="강조색1 5 13" xfId="1943"/>
    <cellStyle name="강조색1 5 14" xfId="1944"/>
    <cellStyle name="강조색1 5 2" xfId="1945"/>
    <cellStyle name="강조색1 5 3" xfId="1946"/>
    <cellStyle name="강조색1 5 4" xfId="1947"/>
    <cellStyle name="강조색1 5 5" xfId="1948"/>
    <cellStyle name="강조색1 5 6" xfId="1949"/>
    <cellStyle name="강조색1 5 7" xfId="1950"/>
    <cellStyle name="강조색1 5 8" xfId="1951"/>
    <cellStyle name="강조색1 5 9" xfId="1952"/>
    <cellStyle name="강조색1 6" xfId="1953"/>
    <cellStyle name="강조색1 6 2" xfId="1954"/>
    <cellStyle name="강조색1 6 3" xfId="1955"/>
    <cellStyle name="강조색1 6 4" xfId="1956"/>
    <cellStyle name="강조색1 6 5" xfId="1957"/>
    <cellStyle name="강조색1 7" xfId="1958"/>
    <cellStyle name="강조색1 7 2" xfId="1959"/>
    <cellStyle name="강조색1 8" xfId="1960"/>
    <cellStyle name="강조색1 8 2" xfId="1961"/>
    <cellStyle name="강조색1 9" xfId="1962"/>
    <cellStyle name="강조색1 9 2" xfId="1963"/>
    <cellStyle name="강조색2 10" xfId="1964"/>
    <cellStyle name="강조색2 10 2" xfId="1965"/>
    <cellStyle name="강조색2 11" xfId="1966"/>
    <cellStyle name="강조색2 11 2" xfId="1967"/>
    <cellStyle name="강조색2 12" xfId="1968"/>
    <cellStyle name="강조색2 12 2" xfId="1969"/>
    <cellStyle name="강조색2 13" xfId="1970"/>
    <cellStyle name="강조색2 13 2" xfId="1971"/>
    <cellStyle name="강조색2 14" xfId="1972"/>
    <cellStyle name="강조색2 15" xfId="1973"/>
    <cellStyle name="강조색2 16" xfId="1974"/>
    <cellStyle name="강조색2 2" xfId="1975"/>
    <cellStyle name="강조색2 2 10" xfId="1976"/>
    <cellStyle name="강조색2 2 11" xfId="1977"/>
    <cellStyle name="강조색2 2 12" xfId="1978"/>
    <cellStyle name="강조색2 2 13" xfId="1979"/>
    <cellStyle name="강조색2 2 14" xfId="1980"/>
    <cellStyle name="강조색2 2 2" xfId="1981"/>
    <cellStyle name="강조색2 2 3" xfId="1982"/>
    <cellStyle name="강조색2 2 4" xfId="1983"/>
    <cellStyle name="강조색2 2 5" xfId="1984"/>
    <cellStyle name="강조색2 2 6" xfId="1985"/>
    <cellStyle name="강조색2 2 7" xfId="1986"/>
    <cellStyle name="강조색2 2 8" xfId="1987"/>
    <cellStyle name="강조색2 2 9" xfId="1988"/>
    <cellStyle name="강조색2 3" xfId="1989"/>
    <cellStyle name="강조색2 3 10" xfId="1990"/>
    <cellStyle name="강조색2 3 2" xfId="1991"/>
    <cellStyle name="강조색2 3 2 2" xfId="1992"/>
    <cellStyle name="강조색2 3 2 3" xfId="1993"/>
    <cellStyle name="강조색2 3 2 4" xfId="1994"/>
    <cellStyle name="강조색2 3 3" xfId="1995"/>
    <cellStyle name="강조색2 3 4" xfId="1996"/>
    <cellStyle name="강조색2 3 5" xfId="1997"/>
    <cellStyle name="강조색2 3 6" xfId="1998"/>
    <cellStyle name="강조색2 3 7" xfId="1999"/>
    <cellStyle name="강조색2 3 8" xfId="2000"/>
    <cellStyle name="강조색2 3 9" xfId="2001"/>
    <cellStyle name="강조색2 4" xfId="2002"/>
    <cellStyle name="강조색2 4 2" xfId="2003"/>
    <cellStyle name="강조색2 4 3" xfId="2004"/>
    <cellStyle name="강조색2 4 4" xfId="2005"/>
    <cellStyle name="강조색2 5" xfId="2006"/>
    <cellStyle name="강조색2 5 10" xfId="2007"/>
    <cellStyle name="강조색2 5 11" xfId="2008"/>
    <cellStyle name="강조색2 5 12" xfId="2009"/>
    <cellStyle name="강조색2 5 13" xfId="2010"/>
    <cellStyle name="강조색2 5 14" xfId="2011"/>
    <cellStyle name="강조색2 5 2" xfId="2012"/>
    <cellStyle name="강조색2 5 3" xfId="2013"/>
    <cellStyle name="강조색2 5 4" xfId="2014"/>
    <cellStyle name="강조색2 5 5" xfId="2015"/>
    <cellStyle name="강조색2 5 6" xfId="2016"/>
    <cellStyle name="강조색2 5 7" xfId="2017"/>
    <cellStyle name="강조색2 5 8" xfId="2018"/>
    <cellStyle name="강조색2 5 9" xfId="2019"/>
    <cellStyle name="강조색2 6" xfId="2020"/>
    <cellStyle name="강조색2 6 2" xfId="2021"/>
    <cellStyle name="강조색2 6 3" xfId="2022"/>
    <cellStyle name="강조색2 6 4" xfId="2023"/>
    <cellStyle name="강조색2 6 5" xfId="2024"/>
    <cellStyle name="강조색2 7" xfId="2025"/>
    <cellStyle name="강조색2 7 2" xfId="2026"/>
    <cellStyle name="강조색2 8" xfId="2027"/>
    <cellStyle name="강조색2 8 2" xfId="2028"/>
    <cellStyle name="강조색2 9" xfId="2029"/>
    <cellStyle name="강조색2 9 2" xfId="2030"/>
    <cellStyle name="강조색3 10" xfId="2031"/>
    <cellStyle name="강조색3 10 2" xfId="2032"/>
    <cellStyle name="강조색3 11" xfId="2033"/>
    <cellStyle name="강조색3 11 2" xfId="2034"/>
    <cellStyle name="강조색3 12" xfId="2035"/>
    <cellStyle name="강조색3 12 2" xfId="2036"/>
    <cellStyle name="강조색3 13" xfId="2037"/>
    <cellStyle name="강조색3 13 2" xfId="2038"/>
    <cellStyle name="강조색3 14" xfId="2039"/>
    <cellStyle name="강조색3 15" xfId="2040"/>
    <cellStyle name="강조색3 2" xfId="2041"/>
    <cellStyle name="강조색3 2 10" xfId="2042"/>
    <cellStyle name="강조색3 2 11" xfId="2043"/>
    <cellStyle name="강조색3 2 12" xfId="2044"/>
    <cellStyle name="강조색3 2 13" xfId="2045"/>
    <cellStyle name="강조색3 2 14" xfId="2046"/>
    <cellStyle name="강조색3 2 2" xfId="2047"/>
    <cellStyle name="강조색3 2 3" xfId="2048"/>
    <cellStyle name="강조색3 2 4" xfId="2049"/>
    <cellStyle name="강조색3 2 5" xfId="2050"/>
    <cellStyle name="강조색3 2 6" xfId="2051"/>
    <cellStyle name="강조색3 2 7" xfId="2052"/>
    <cellStyle name="강조색3 2 8" xfId="2053"/>
    <cellStyle name="강조색3 2 9" xfId="2054"/>
    <cellStyle name="강조색3 3" xfId="2055"/>
    <cellStyle name="강조색3 3 10" xfId="2056"/>
    <cellStyle name="강조색3 3 2" xfId="2057"/>
    <cellStyle name="강조색3 3 2 2" xfId="2058"/>
    <cellStyle name="강조색3 3 2 3" xfId="2059"/>
    <cellStyle name="강조색3 3 2 4" xfId="2060"/>
    <cellStyle name="강조색3 3 3" xfId="2061"/>
    <cellStyle name="강조색3 3 4" xfId="2062"/>
    <cellStyle name="강조색3 3 5" xfId="2063"/>
    <cellStyle name="강조색3 3 6" xfId="2064"/>
    <cellStyle name="강조색3 3 7" xfId="2065"/>
    <cellStyle name="강조색3 3 8" xfId="2066"/>
    <cellStyle name="강조색3 3 9" xfId="2067"/>
    <cellStyle name="강조색3 4" xfId="2068"/>
    <cellStyle name="강조색3 4 2" xfId="2069"/>
    <cellStyle name="강조색3 4 3" xfId="2070"/>
    <cellStyle name="강조색3 4 4" xfId="2071"/>
    <cellStyle name="강조색3 5" xfId="2072"/>
    <cellStyle name="강조색3 5 10" xfId="2073"/>
    <cellStyle name="강조색3 5 11" xfId="2074"/>
    <cellStyle name="강조색3 5 12" xfId="2075"/>
    <cellStyle name="강조색3 5 13" xfId="2076"/>
    <cellStyle name="강조색3 5 14" xfId="2077"/>
    <cellStyle name="강조색3 5 2" xfId="2078"/>
    <cellStyle name="강조색3 5 3" xfId="2079"/>
    <cellStyle name="강조색3 5 4" xfId="2080"/>
    <cellStyle name="강조색3 5 5" xfId="2081"/>
    <cellStyle name="강조색3 5 6" xfId="2082"/>
    <cellStyle name="강조색3 5 7" xfId="2083"/>
    <cellStyle name="강조색3 5 8" xfId="2084"/>
    <cellStyle name="강조색3 5 9" xfId="2085"/>
    <cellStyle name="강조색3 6" xfId="2086"/>
    <cellStyle name="강조색3 6 2" xfId="2087"/>
    <cellStyle name="강조색3 6 3" xfId="2088"/>
    <cellStyle name="강조색3 6 4" xfId="2089"/>
    <cellStyle name="강조색3 6 5" xfId="2090"/>
    <cellStyle name="강조색3 7" xfId="2091"/>
    <cellStyle name="강조색3 7 2" xfId="2092"/>
    <cellStyle name="강조색3 8" xfId="2093"/>
    <cellStyle name="강조색3 8 2" xfId="2094"/>
    <cellStyle name="강조색3 9" xfId="2095"/>
    <cellStyle name="강조색3 9 2" xfId="2096"/>
    <cellStyle name="강조색4 10" xfId="2097"/>
    <cellStyle name="강조색4 10 2" xfId="2098"/>
    <cellStyle name="강조색4 11" xfId="2099"/>
    <cellStyle name="강조색4 11 2" xfId="2100"/>
    <cellStyle name="강조색4 12" xfId="2101"/>
    <cellStyle name="강조색4 12 2" xfId="2102"/>
    <cellStyle name="강조색4 13" xfId="2103"/>
    <cellStyle name="강조색4 13 2" xfId="2104"/>
    <cellStyle name="강조색4 14" xfId="2105"/>
    <cellStyle name="강조색4 15" xfId="2106"/>
    <cellStyle name="강조색4 2" xfId="2107"/>
    <cellStyle name="강조색4 2 10" xfId="2108"/>
    <cellStyle name="강조색4 2 11" xfId="2109"/>
    <cellStyle name="강조색4 2 12" xfId="2110"/>
    <cellStyle name="강조색4 2 13" xfId="2111"/>
    <cellStyle name="강조색4 2 14" xfId="2112"/>
    <cellStyle name="강조색4 2 2" xfId="2113"/>
    <cellStyle name="강조색4 2 3" xfId="2114"/>
    <cellStyle name="강조색4 2 4" xfId="2115"/>
    <cellStyle name="강조색4 2 5" xfId="2116"/>
    <cellStyle name="강조색4 2 6" xfId="2117"/>
    <cellStyle name="강조색4 2 7" xfId="2118"/>
    <cellStyle name="강조색4 2 8" xfId="2119"/>
    <cellStyle name="강조색4 2 9" xfId="2120"/>
    <cellStyle name="강조색4 3" xfId="2121"/>
    <cellStyle name="강조색4 3 10" xfId="2122"/>
    <cellStyle name="강조색4 3 2" xfId="2123"/>
    <cellStyle name="강조색4 3 2 2" xfId="2124"/>
    <cellStyle name="강조색4 3 2 3" xfId="2125"/>
    <cellStyle name="강조색4 3 2 4" xfId="2126"/>
    <cellStyle name="강조색4 3 3" xfId="2127"/>
    <cellStyle name="강조색4 3 4" xfId="2128"/>
    <cellStyle name="강조색4 3 5" xfId="2129"/>
    <cellStyle name="강조색4 3 6" xfId="2130"/>
    <cellStyle name="강조색4 3 7" xfId="2131"/>
    <cellStyle name="강조색4 3 8" xfId="2132"/>
    <cellStyle name="강조색4 3 9" xfId="2133"/>
    <cellStyle name="강조색4 4" xfId="2134"/>
    <cellStyle name="강조색4 4 2" xfId="2135"/>
    <cellStyle name="강조색4 4 3" xfId="2136"/>
    <cellStyle name="강조색4 4 4" xfId="2137"/>
    <cellStyle name="강조색4 5" xfId="2138"/>
    <cellStyle name="강조색4 5 10" xfId="2139"/>
    <cellStyle name="강조색4 5 11" xfId="2140"/>
    <cellStyle name="강조색4 5 12" xfId="2141"/>
    <cellStyle name="강조색4 5 13" xfId="2142"/>
    <cellStyle name="강조색4 5 14" xfId="2143"/>
    <cellStyle name="강조색4 5 2" xfId="2144"/>
    <cellStyle name="강조색4 5 3" xfId="2145"/>
    <cellStyle name="강조색4 5 4" xfId="2146"/>
    <cellStyle name="강조색4 5 5" xfId="2147"/>
    <cellStyle name="강조색4 5 6" xfId="2148"/>
    <cellStyle name="강조색4 5 7" xfId="2149"/>
    <cellStyle name="강조색4 5 8" xfId="2150"/>
    <cellStyle name="강조색4 5 9" xfId="2151"/>
    <cellStyle name="강조색4 6" xfId="2152"/>
    <cellStyle name="강조색4 6 2" xfId="2153"/>
    <cellStyle name="강조색4 6 3" xfId="2154"/>
    <cellStyle name="강조색4 6 4" xfId="2155"/>
    <cellStyle name="강조색4 6 5" xfId="2156"/>
    <cellStyle name="강조색4 7" xfId="2157"/>
    <cellStyle name="강조색4 7 2" xfId="2158"/>
    <cellStyle name="강조색4 8" xfId="2159"/>
    <cellStyle name="강조색4 8 2" xfId="2160"/>
    <cellStyle name="강조색4 9" xfId="2161"/>
    <cellStyle name="강조색4 9 2" xfId="2162"/>
    <cellStyle name="강조색5 10" xfId="2163"/>
    <cellStyle name="강조색5 10 2" xfId="2164"/>
    <cellStyle name="강조색5 11" xfId="2165"/>
    <cellStyle name="강조색5 11 2" xfId="2166"/>
    <cellStyle name="강조색5 12" xfId="2167"/>
    <cellStyle name="강조색5 12 2" xfId="2168"/>
    <cellStyle name="강조색5 13" xfId="2169"/>
    <cellStyle name="강조색5 13 2" xfId="2170"/>
    <cellStyle name="강조색5 14" xfId="2171"/>
    <cellStyle name="강조색5 15" xfId="2172"/>
    <cellStyle name="강조색5 2" xfId="2173"/>
    <cellStyle name="강조색5 2 10" xfId="2174"/>
    <cellStyle name="강조색5 2 11" xfId="2175"/>
    <cellStyle name="강조색5 2 12" xfId="2176"/>
    <cellStyle name="강조색5 2 13" xfId="2177"/>
    <cellStyle name="강조색5 2 14" xfId="2178"/>
    <cellStyle name="강조색5 2 2" xfId="2179"/>
    <cellStyle name="강조색5 2 3" xfId="2180"/>
    <cellStyle name="강조색5 2 4" xfId="2181"/>
    <cellStyle name="강조색5 2 5" xfId="2182"/>
    <cellStyle name="강조색5 2 6" xfId="2183"/>
    <cellStyle name="강조색5 2 7" xfId="2184"/>
    <cellStyle name="강조색5 2 8" xfId="2185"/>
    <cellStyle name="강조색5 2 9" xfId="2186"/>
    <cellStyle name="강조색5 3" xfId="2187"/>
    <cellStyle name="강조색5 3 10" xfId="2188"/>
    <cellStyle name="강조색5 3 2" xfId="2189"/>
    <cellStyle name="강조색5 3 2 2" xfId="2190"/>
    <cellStyle name="강조색5 3 2 3" xfId="2191"/>
    <cellStyle name="강조색5 3 2 4" xfId="2192"/>
    <cellStyle name="강조색5 3 3" xfId="2193"/>
    <cellStyle name="강조색5 3 4" xfId="2194"/>
    <cellStyle name="강조색5 3 5" xfId="2195"/>
    <cellStyle name="강조색5 3 6" xfId="2196"/>
    <cellStyle name="강조색5 3 7" xfId="2197"/>
    <cellStyle name="강조색5 3 8" xfId="2198"/>
    <cellStyle name="강조색5 3 9" xfId="2199"/>
    <cellStyle name="강조색5 4" xfId="2200"/>
    <cellStyle name="강조색5 4 2" xfId="2201"/>
    <cellStyle name="강조색5 4 3" xfId="2202"/>
    <cellStyle name="강조색5 4 4" xfId="2203"/>
    <cellStyle name="강조색5 5" xfId="2204"/>
    <cellStyle name="강조색5 5 10" xfId="2205"/>
    <cellStyle name="강조색5 5 11" xfId="2206"/>
    <cellStyle name="강조색5 5 12" xfId="2207"/>
    <cellStyle name="강조색5 5 13" xfId="2208"/>
    <cellStyle name="강조색5 5 14" xfId="2209"/>
    <cellStyle name="강조색5 5 2" xfId="2210"/>
    <cellStyle name="강조색5 5 3" xfId="2211"/>
    <cellStyle name="강조색5 5 4" xfId="2212"/>
    <cellStyle name="강조색5 5 5" xfId="2213"/>
    <cellStyle name="강조색5 5 6" xfId="2214"/>
    <cellStyle name="강조색5 5 7" xfId="2215"/>
    <cellStyle name="강조색5 5 8" xfId="2216"/>
    <cellStyle name="강조색5 5 9" xfId="2217"/>
    <cellStyle name="강조색5 6" xfId="2218"/>
    <cellStyle name="강조색5 6 2" xfId="2219"/>
    <cellStyle name="강조색5 6 3" xfId="2220"/>
    <cellStyle name="강조색5 6 4" xfId="2221"/>
    <cellStyle name="강조색5 6 5" xfId="2222"/>
    <cellStyle name="강조색5 7" xfId="2223"/>
    <cellStyle name="강조색5 7 2" xfId="2224"/>
    <cellStyle name="강조색5 8" xfId="2225"/>
    <cellStyle name="강조색5 8 2" xfId="2226"/>
    <cellStyle name="강조색5 9" xfId="2227"/>
    <cellStyle name="강조색5 9 2" xfId="2228"/>
    <cellStyle name="강조색6 10" xfId="2229"/>
    <cellStyle name="강조색6 10 2" xfId="2230"/>
    <cellStyle name="강조색6 11" xfId="2231"/>
    <cellStyle name="강조색6 11 2" xfId="2232"/>
    <cellStyle name="강조색6 12" xfId="2233"/>
    <cellStyle name="강조색6 12 2" xfId="2234"/>
    <cellStyle name="강조색6 13" xfId="2235"/>
    <cellStyle name="강조색6 13 2" xfId="2236"/>
    <cellStyle name="강조색6 14" xfId="2237"/>
    <cellStyle name="강조색6 15" xfId="2238"/>
    <cellStyle name="강조색6 2" xfId="2239"/>
    <cellStyle name="강조색6 2 10" xfId="2240"/>
    <cellStyle name="강조색6 2 11" xfId="2241"/>
    <cellStyle name="강조색6 2 12" xfId="2242"/>
    <cellStyle name="강조색6 2 13" xfId="2243"/>
    <cellStyle name="강조색6 2 14" xfId="2244"/>
    <cellStyle name="강조색6 2 2" xfId="2245"/>
    <cellStyle name="강조색6 2 3" xfId="2246"/>
    <cellStyle name="강조색6 2 4" xfId="2247"/>
    <cellStyle name="강조색6 2 5" xfId="2248"/>
    <cellStyle name="강조색6 2 6" xfId="2249"/>
    <cellStyle name="강조색6 2 7" xfId="2250"/>
    <cellStyle name="강조색6 2 8" xfId="2251"/>
    <cellStyle name="강조색6 2 9" xfId="2252"/>
    <cellStyle name="강조색6 3" xfId="2253"/>
    <cellStyle name="강조색6 3 10" xfId="2254"/>
    <cellStyle name="강조색6 3 2" xfId="2255"/>
    <cellStyle name="강조색6 3 2 2" xfId="2256"/>
    <cellStyle name="강조색6 3 2 3" xfId="2257"/>
    <cellStyle name="강조색6 3 2 4" xfId="2258"/>
    <cellStyle name="강조색6 3 3" xfId="2259"/>
    <cellStyle name="강조색6 3 4" xfId="2260"/>
    <cellStyle name="강조색6 3 5" xfId="2261"/>
    <cellStyle name="강조색6 3 6" xfId="2262"/>
    <cellStyle name="강조색6 3 7" xfId="2263"/>
    <cellStyle name="강조색6 3 8" xfId="2264"/>
    <cellStyle name="강조색6 3 9" xfId="2265"/>
    <cellStyle name="강조색6 4" xfId="2266"/>
    <cellStyle name="강조색6 4 2" xfId="2267"/>
    <cellStyle name="강조색6 4 3" xfId="2268"/>
    <cellStyle name="강조색6 4 4" xfId="2269"/>
    <cellStyle name="강조색6 5" xfId="2270"/>
    <cellStyle name="강조색6 5 10" xfId="2271"/>
    <cellStyle name="강조색6 5 11" xfId="2272"/>
    <cellStyle name="강조색6 5 12" xfId="2273"/>
    <cellStyle name="강조색6 5 13" xfId="2274"/>
    <cellStyle name="강조색6 5 14" xfId="2275"/>
    <cellStyle name="강조색6 5 2" xfId="2276"/>
    <cellStyle name="강조색6 5 3" xfId="2277"/>
    <cellStyle name="강조색6 5 4" xfId="2278"/>
    <cellStyle name="강조색6 5 5" xfId="2279"/>
    <cellStyle name="강조색6 5 6" xfId="2280"/>
    <cellStyle name="강조색6 5 7" xfId="2281"/>
    <cellStyle name="강조색6 5 8" xfId="2282"/>
    <cellStyle name="강조색6 5 9" xfId="2283"/>
    <cellStyle name="강조색6 6" xfId="2284"/>
    <cellStyle name="강조색6 6 2" xfId="2285"/>
    <cellStyle name="강조색6 6 3" xfId="2286"/>
    <cellStyle name="강조색6 6 4" xfId="2287"/>
    <cellStyle name="강조색6 6 5" xfId="2288"/>
    <cellStyle name="강조색6 7" xfId="2289"/>
    <cellStyle name="강조색6 7 2" xfId="2290"/>
    <cellStyle name="강조색6 8" xfId="2291"/>
    <cellStyle name="강조색6 8 2" xfId="2292"/>
    <cellStyle name="강조색6 9" xfId="2293"/>
    <cellStyle name="강조색6 9 2" xfId="2294"/>
    <cellStyle name="경고문 10" xfId="2295"/>
    <cellStyle name="경고문 10 2" xfId="2296"/>
    <cellStyle name="경고문 11" xfId="2297"/>
    <cellStyle name="경고문 11 2" xfId="2298"/>
    <cellStyle name="경고문 12" xfId="2299"/>
    <cellStyle name="경고문 12 2" xfId="2300"/>
    <cellStyle name="경고문 13" xfId="2301"/>
    <cellStyle name="경고문 13 2" xfId="2302"/>
    <cellStyle name="경고문 14" xfId="2303"/>
    <cellStyle name="경고문 15" xfId="2304"/>
    <cellStyle name="경고문 2" xfId="2305"/>
    <cellStyle name="경고문 2 10" xfId="2306"/>
    <cellStyle name="경고문 2 11" xfId="2307"/>
    <cellStyle name="경고문 2 12" xfId="2308"/>
    <cellStyle name="경고문 2 13" xfId="2309"/>
    <cellStyle name="경고문 2 14" xfId="2310"/>
    <cellStyle name="경고문 2 2" xfId="2311"/>
    <cellStyle name="경고문 2 3" xfId="2312"/>
    <cellStyle name="경고문 2 4" xfId="2313"/>
    <cellStyle name="경고문 2 5" xfId="2314"/>
    <cellStyle name="경고문 2 6" xfId="2315"/>
    <cellStyle name="경고문 2 7" xfId="2316"/>
    <cellStyle name="경고문 2 8" xfId="2317"/>
    <cellStyle name="경고문 2 9" xfId="2318"/>
    <cellStyle name="경고문 3" xfId="2319"/>
    <cellStyle name="경고문 3 10" xfId="2320"/>
    <cellStyle name="경고문 3 2" xfId="2321"/>
    <cellStyle name="경고문 3 2 2" xfId="2322"/>
    <cellStyle name="경고문 3 2 3" xfId="2323"/>
    <cellStyle name="경고문 3 2 4" xfId="2324"/>
    <cellStyle name="경고문 3 3" xfId="2325"/>
    <cellStyle name="경고문 3 4" xfId="2326"/>
    <cellStyle name="경고문 3 5" xfId="2327"/>
    <cellStyle name="경고문 3 6" xfId="2328"/>
    <cellStyle name="경고문 3 7" xfId="2329"/>
    <cellStyle name="경고문 3 8" xfId="2330"/>
    <cellStyle name="경고문 3 9" xfId="2331"/>
    <cellStyle name="경고문 4" xfId="2332"/>
    <cellStyle name="경고문 4 2" xfId="2333"/>
    <cellStyle name="경고문 4 3" xfId="2334"/>
    <cellStyle name="경고문 4 4" xfId="2335"/>
    <cellStyle name="경고문 5" xfId="2336"/>
    <cellStyle name="경고문 5 10" xfId="2337"/>
    <cellStyle name="경고문 5 11" xfId="2338"/>
    <cellStyle name="경고문 5 12" xfId="2339"/>
    <cellStyle name="경고문 5 13" xfId="2340"/>
    <cellStyle name="경고문 5 14" xfId="2341"/>
    <cellStyle name="경고문 5 2" xfId="2342"/>
    <cellStyle name="경고문 5 3" xfId="2343"/>
    <cellStyle name="경고문 5 4" xfId="2344"/>
    <cellStyle name="경고문 5 5" xfId="2345"/>
    <cellStyle name="경고문 5 6" xfId="2346"/>
    <cellStyle name="경고문 5 7" xfId="2347"/>
    <cellStyle name="경고문 5 8" xfId="2348"/>
    <cellStyle name="경고문 5 9" xfId="2349"/>
    <cellStyle name="경고문 6" xfId="2350"/>
    <cellStyle name="경고문 6 2" xfId="2351"/>
    <cellStyle name="경고문 6 3" xfId="2352"/>
    <cellStyle name="경고문 6 4" xfId="2353"/>
    <cellStyle name="경고문 6 5" xfId="2354"/>
    <cellStyle name="경고문 7" xfId="2355"/>
    <cellStyle name="경고문 7 2" xfId="2356"/>
    <cellStyle name="경고문 8" xfId="2357"/>
    <cellStyle name="경고문 8 2" xfId="2358"/>
    <cellStyle name="경고문 9" xfId="2359"/>
    <cellStyle name="경고문 9 2" xfId="2360"/>
    <cellStyle name="계산 10" xfId="2361"/>
    <cellStyle name="계산 10 2" xfId="2362"/>
    <cellStyle name="계산 11" xfId="2363"/>
    <cellStyle name="계산 11 2" xfId="2364"/>
    <cellStyle name="계산 12" xfId="2365"/>
    <cellStyle name="계산 12 2" xfId="2366"/>
    <cellStyle name="계산 13" xfId="2367"/>
    <cellStyle name="계산 13 2" xfId="2368"/>
    <cellStyle name="계산 14" xfId="2369"/>
    <cellStyle name="계산 15" xfId="2370"/>
    <cellStyle name="계산 2" xfId="2371"/>
    <cellStyle name="계산 2 10" xfId="2372"/>
    <cellStyle name="계산 2 11" xfId="2373"/>
    <cellStyle name="계산 2 12" xfId="2374"/>
    <cellStyle name="계산 2 13" xfId="2375"/>
    <cellStyle name="계산 2 14" xfId="2376"/>
    <cellStyle name="계산 2 2" xfId="2377"/>
    <cellStyle name="계산 2 3" xfId="2378"/>
    <cellStyle name="계산 2 4" xfId="2379"/>
    <cellStyle name="계산 2 5" xfId="2380"/>
    <cellStyle name="계산 2 6" xfId="2381"/>
    <cellStyle name="계산 2 7" xfId="2382"/>
    <cellStyle name="계산 2 8" xfId="2383"/>
    <cellStyle name="계산 2 9" xfId="2384"/>
    <cellStyle name="계산 3" xfId="2385"/>
    <cellStyle name="계산 3 10" xfId="2386"/>
    <cellStyle name="계산 3 2" xfId="2387"/>
    <cellStyle name="계산 3 2 2" xfId="2388"/>
    <cellStyle name="계산 3 2 3" xfId="2389"/>
    <cellStyle name="계산 3 2 4" xfId="2390"/>
    <cellStyle name="계산 3 3" xfId="2391"/>
    <cellStyle name="계산 3 4" xfId="2392"/>
    <cellStyle name="계산 3 5" xfId="2393"/>
    <cellStyle name="계산 3 6" xfId="2394"/>
    <cellStyle name="계산 3 7" xfId="2395"/>
    <cellStyle name="계산 3 8" xfId="2396"/>
    <cellStyle name="계산 3 9" xfId="2397"/>
    <cellStyle name="계산 4" xfId="2398"/>
    <cellStyle name="계산 4 2" xfId="2399"/>
    <cellStyle name="계산 4 3" xfId="2400"/>
    <cellStyle name="계산 4 4" xfId="2401"/>
    <cellStyle name="계산 5" xfId="2402"/>
    <cellStyle name="계산 5 10" xfId="2403"/>
    <cellStyle name="계산 5 11" xfId="2404"/>
    <cellStyle name="계산 5 12" xfId="2405"/>
    <cellStyle name="계산 5 13" xfId="2406"/>
    <cellStyle name="계산 5 14" xfId="2407"/>
    <cellStyle name="계산 5 2" xfId="2408"/>
    <cellStyle name="계산 5 3" xfId="2409"/>
    <cellStyle name="계산 5 4" xfId="2410"/>
    <cellStyle name="계산 5 5" xfId="2411"/>
    <cellStyle name="계산 5 6" xfId="2412"/>
    <cellStyle name="계산 5 7" xfId="2413"/>
    <cellStyle name="계산 5 8" xfId="2414"/>
    <cellStyle name="계산 5 9" xfId="2415"/>
    <cellStyle name="계산 6" xfId="2416"/>
    <cellStyle name="계산 6 2" xfId="2417"/>
    <cellStyle name="계산 6 3" xfId="2418"/>
    <cellStyle name="계산 6 4" xfId="2419"/>
    <cellStyle name="계산 6 5" xfId="2420"/>
    <cellStyle name="계산 7" xfId="2421"/>
    <cellStyle name="계산 7 2" xfId="2422"/>
    <cellStyle name="계산 8" xfId="2423"/>
    <cellStyle name="계산 8 2" xfId="2424"/>
    <cellStyle name="계산 9" xfId="2425"/>
    <cellStyle name="계산 9 2" xfId="2426"/>
    <cellStyle name="常规" xfId="0" builtinId="0"/>
    <cellStyle name="나쁨 10" xfId="2427"/>
    <cellStyle name="나쁨 10 2" xfId="2428"/>
    <cellStyle name="나쁨 11" xfId="2429"/>
    <cellStyle name="나쁨 11 2" xfId="2430"/>
    <cellStyle name="나쁨 12" xfId="2431"/>
    <cellStyle name="나쁨 12 2" xfId="2432"/>
    <cellStyle name="나쁨 13" xfId="2433"/>
    <cellStyle name="나쁨 13 2" xfId="2434"/>
    <cellStyle name="나쁨 14" xfId="2435"/>
    <cellStyle name="나쁨 15" xfId="2436"/>
    <cellStyle name="나쁨 2" xfId="2437"/>
    <cellStyle name="나쁨 2 10" xfId="2438"/>
    <cellStyle name="나쁨 2 11" xfId="2439"/>
    <cellStyle name="나쁨 2 12" xfId="2440"/>
    <cellStyle name="나쁨 2 13" xfId="2441"/>
    <cellStyle name="나쁨 2 14" xfId="2442"/>
    <cellStyle name="나쁨 2 2" xfId="2443"/>
    <cellStyle name="나쁨 2 3" xfId="2444"/>
    <cellStyle name="나쁨 2 4" xfId="2445"/>
    <cellStyle name="나쁨 2 5" xfId="2446"/>
    <cellStyle name="나쁨 2 6" xfId="2447"/>
    <cellStyle name="나쁨 2 7" xfId="2448"/>
    <cellStyle name="나쁨 2 8" xfId="2449"/>
    <cellStyle name="나쁨 2 9" xfId="2450"/>
    <cellStyle name="나쁨 3" xfId="2451"/>
    <cellStyle name="나쁨 3 10" xfId="2452"/>
    <cellStyle name="나쁨 3 2" xfId="2453"/>
    <cellStyle name="나쁨 3 2 2" xfId="2454"/>
    <cellStyle name="나쁨 3 2 3" xfId="2455"/>
    <cellStyle name="나쁨 3 2 4" xfId="2456"/>
    <cellStyle name="나쁨 3 3" xfId="2457"/>
    <cellStyle name="나쁨 3 4" xfId="2458"/>
    <cellStyle name="나쁨 3 5" xfId="2459"/>
    <cellStyle name="나쁨 3 6" xfId="2460"/>
    <cellStyle name="나쁨 3 7" xfId="2461"/>
    <cellStyle name="나쁨 3 8" xfId="2462"/>
    <cellStyle name="나쁨 3 9" xfId="2463"/>
    <cellStyle name="나쁨 4" xfId="2464"/>
    <cellStyle name="나쁨 4 2" xfId="2465"/>
    <cellStyle name="나쁨 4 3" xfId="2466"/>
    <cellStyle name="나쁨 4 4" xfId="2467"/>
    <cellStyle name="나쁨 5" xfId="2468"/>
    <cellStyle name="나쁨 5 10" xfId="2469"/>
    <cellStyle name="나쁨 5 11" xfId="2470"/>
    <cellStyle name="나쁨 5 12" xfId="2471"/>
    <cellStyle name="나쁨 5 13" xfId="2472"/>
    <cellStyle name="나쁨 5 14" xfId="2473"/>
    <cellStyle name="나쁨 5 2" xfId="2474"/>
    <cellStyle name="나쁨 5 3" xfId="2475"/>
    <cellStyle name="나쁨 5 4" xfId="2476"/>
    <cellStyle name="나쁨 5 5" xfId="2477"/>
    <cellStyle name="나쁨 5 6" xfId="2478"/>
    <cellStyle name="나쁨 5 7" xfId="2479"/>
    <cellStyle name="나쁨 5 8" xfId="2480"/>
    <cellStyle name="나쁨 5 9" xfId="2481"/>
    <cellStyle name="나쁨 6" xfId="2482"/>
    <cellStyle name="나쁨 6 2" xfId="2483"/>
    <cellStyle name="나쁨 6 3" xfId="2484"/>
    <cellStyle name="나쁨 6 4" xfId="2485"/>
    <cellStyle name="나쁨 6 5" xfId="2486"/>
    <cellStyle name="나쁨 7" xfId="2487"/>
    <cellStyle name="나쁨 7 2" xfId="2488"/>
    <cellStyle name="나쁨 8" xfId="2489"/>
    <cellStyle name="나쁨 8 2" xfId="2490"/>
    <cellStyle name="나쁨 9" xfId="2491"/>
    <cellStyle name="나쁨 9 2" xfId="2492"/>
    <cellStyle name="메모 10" xfId="2493"/>
    <cellStyle name="메모 10 2" xfId="2494"/>
    <cellStyle name="메모 11" xfId="2495"/>
    <cellStyle name="메모 11 2" xfId="2496"/>
    <cellStyle name="메모 12" xfId="2497"/>
    <cellStyle name="메모 12 2" xfId="2498"/>
    <cellStyle name="메모 13" xfId="2499"/>
    <cellStyle name="메모 13 2" xfId="2500"/>
    <cellStyle name="메모 14" xfId="2501"/>
    <cellStyle name="메모 14 2" xfId="2502"/>
    <cellStyle name="메모 14 2 2" xfId="2503"/>
    <cellStyle name="메모 14 3" xfId="2504"/>
    <cellStyle name="메모 15" xfId="2505"/>
    <cellStyle name="메모 15 2" xfId="2506"/>
    <cellStyle name="메모 15 3" xfId="2507"/>
    <cellStyle name="메모 2" xfId="25"/>
    <cellStyle name="메모 2 10" xfId="2509"/>
    <cellStyle name="메모 2 11" xfId="2510"/>
    <cellStyle name="메모 2 12" xfId="2511"/>
    <cellStyle name="메모 2 13" xfId="2512"/>
    <cellStyle name="메모 2 14" xfId="2513"/>
    <cellStyle name="메모 2 15" xfId="2508"/>
    <cellStyle name="메모 2 2" xfId="26"/>
    <cellStyle name="메모 2 2 2" xfId="27"/>
    <cellStyle name="메모 2 2 2 2" xfId="28"/>
    <cellStyle name="메모 2 2 2 3" xfId="29"/>
    <cellStyle name="메모 2 2 2 3 2" xfId="30"/>
    <cellStyle name="메모 2 2 2 4" xfId="31"/>
    <cellStyle name="메모 2 2 3" xfId="32"/>
    <cellStyle name="메모 2 2 4" xfId="33"/>
    <cellStyle name="메모 2 2 4 2" xfId="34"/>
    <cellStyle name="메모 2 2 5" xfId="35"/>
    <cellStyle name="메모 2 2 5 2" xfId="36"/>
    <cellStyle name="메모 2 2 6" xfId="37"/>
    <cellStyle name="메모 2 2 7" xfId="2514"/>
    <cellStyle name="메모 2 3" xfId="38"/>
    <cellStyle name="메모 2 3 2" xfId="39"/>
    <cellStyle name="메모 2 3 2 2" xfId="40"/>
    <cellStyle name="메모 2 3 2 3" xfId="41"/>
    <cellStyle name="메모 2 3 2 3 2" xfId="42"/>
    <cellStyle name="메모 2 3 2 4" xfId="43"/>
    <cellStyle name="메모 2 3 3" xfId="44"/>
    <cellStyle name="메모 2 3 4" xfId="45"/>
    <cellStyle name="메모 2 3 4 2" xfId="46"/>
    <cellStyle name="메모 2 3 5" xfId="47"/>
    <cellStyle name="메모 2 3 5 2" xfId="48"/>
    <cellStyle name="메모 2 3 6" xfId="49"/>
    <cellStyle name="메모 2 3 7" xfId="2515"/>
    <cellStyle name="메모 2 4" xfId="50"/>
    <cellStyle name="메모 2 4 2" xfId="51"/>
    <cellStyle name="메모 2 4 2 2" xfId="52"/>
    <cellStyle name="메모 2 4 2 3" xfId="53"/>
    <cellStyle name="메모 2 4 2 3 2" xfId="54"/>
    <cellStyle name="메모 2 4 2 4" xfId="55"/>
    <cellStyle name="메모 2 4 3" xfId="56"/>
    <cellStyle name="메모 2 4 4" xfId="57"/>
    <cellStyle name="메모 2 4 4 2" xfId="58"/>
    <cellStyle name="메모 2 4 5" xfId="59"/>
    <cellStyle name="메모 2 4 5 2" xfId="60"/>
    <cellStyle name="메모 2 4 6" xfId="61"/>
    <cellStyle name="메모 2 4 7" xfId="2516"/>
    <cellStyle name="메모 2 5" xfId="62"/>
    <cellStyle name="메모 2 5 2" xfId="63"/>
    <cellStyle name="메모 2 5 3" xfId="64"/>
    <cellStyle name="메모 2 5 3 2" xfId="65"/>
    <cellStyle name="메모 2 5 4" xfId="66"/>
    <cellStyle name="메모 2 5 5" xfId="2517"/>
    <cellStyle name="메모 2 6" xfId="67"/>
    <cellStyle name="메모 2 6 2" xfId="2518"/>
    <cellStyle name="메모 2 7" xfId="68"/>
    <cellStyle name="메모 2 7 2" xfId="69"/>
    <cellStyle name="메모 2 7 3" xfId="2519"/>
    <cellStyle name="메모 2 8" xfId="70"/>
    <cellStyle name="메모 2 8 2" xfId="71"/>
    <cellStyle name="메모 2 8 3" xfId="2520"/>
    <cellStyle name="메모 2 9" xfId="72"/>
    <cellStyle name="메모 2 9 2" xfId="2521"/>
    <cellStyle name="메모 3" xfId="2522"/>
    <cellStyle name="메모 3 10" xfId="2523"/>
    <cellStyle name="메모 3 2" xfId="2524"/>
    <cellStyle name="메모 3 2 2" xfId="2525"/>
    <cellStyle name="메모 3 2 3" xfId="2526"/>
    <cellStyle name="메모 3 2 4" xfId="2527"/>
    <cellStyle name="메모 3 3" xfId="2528"/>
    <cellStyle name="메모 3 4" xfId="2529"/>
    <cellStyle name="메모 3 5" xfId="2530"/>
    <cellStyle name="메모 3 6" xfId="2531"/>
    <cellStyle name="메모 3 7" xfId="2532"/>
    <cellStyle name="메모 3 8" xfId="2533"/>
    <cellStyle name="메모 3 9" xfId="2534"/>
    <cellStyle name="메모 4" xfId="2535"/>
    <cellStyle name="메모 4 2" xfId="2536"/>
    <cellStyle name="메모 4 3" xfId="2537"/>
    <cellStyle name="메모 4 4" xfId="2538"/>
    <cellStyle name="메모 5" xfId="2539"/>
    <cellStyle name="메모 5 10" xfId="2540"/>
    <cellStyle name="메모 5 11" xfId="2541"/>
    <cellStyle name="메모 5 12" xfId="2542"/>
    <cellStyle name="메모 5 13" xfId="2543"/>
    <cellStyle name="메모 5 14" xfId="2544"/>
    <cellStyle name="메모 5 2" xfId="2545"/>
    <cellStyle name="메모 5 3" xfId="2546"/>
    <cellStyle name="메모 5 4" xfId="2547"/>
    <cellStyle name="메모 5 5" xfId="2548"/>
    <cellStyle name="메모 5 6" xfId="2549"/>
    <cellStyle name="메모 5 7" xfId="2550"/>
    <cellStyle name="메모 5 8" xfId="2551"/>
    <cellStyle name="메모 5 9" xfId="2552"/>
    <cellStyle name="메모 6" xfId="2553"/>
    <cellStyle name="메모 6 2" xfId="2554"/>
    <cellStyle name="메모 6 3" xfId="2555"/>
    <cellStyle name="메모 6 4" xfId="2556"/>
    <cellStyle name="메모 6 5" xfId="2557"/>
    <cellStyle name="메모 7" xfId="2558"/>
    <cellStyle name="메모 7 2" xfId="2559"/>
    <cellStyle name="메모 8" xfId="2560"/>
    <cellStyle name="메모 8 2" xfId="2561"/>
    <cellStyle name="메모 9" xfId="2562"/>
    <cellStyle name="메모 9 2" xfId="2563"/>
    <cellStyle name="보통 10" xfId="2564"/>
    <cellStyle name="보통 10 2" xfId="2565"/>
    <cellStyle name="보통 11" xfId="2566"/>
    <cellStyle name="보통 11 2" xfId="2567"/>
    <cellStyle name="보통 12" xfId="2568"/>
    <cellStyle name="보통 12 2" xfId="2569"/>
    <cellStyle name="보통 13" xfId="2570"/>
    <cellStyle name="보통 13 2" xfId="2571"/>
    <cellStyle name="보통 14" xfId="2572"/>
    <cellStyle name="보통 15" xfId="2573"/>
    <cellStyle name="보통 2" xfId="2574"/>
    <cellStyle name="보통 2 10" xfId="2575"/>
    <cellStyle name="보통 2 11" xfId="2576"/>
    <cellStyle name="보통 2 12" xfId="2577"/>
    <cellStyle name="보통 2 13" xfId="2578"/>
    <cellStyle name="보통 2 14" xfId="2579"/>
    <cellStyle name="보통 2 2" xfId="2580"/>
    <cellStyle name="보통 2 3" xfId="2581"/>
    <cellStyle name="보통 2 4" xfId="2582"/>
    <cellStyle name="보통 2 5" xfId="2583"/>
    <cellStyle name="보통 2 6" xfId="2584"/>
    <cellStyle name="보통 2 7" xfId="2585"/>
    <cellStyle name="보통 2 8" xfId="2586"/>
    <cellStyle name="보통 2 9" xfId="2587"/>
    <cellStyle name="보통 3" xfId="2588"/>
    <cellStyle name="보통 3 10" xfId="2589"/>
    <cellStyle name="보통 3 2" xfId="2590"/>
    <cellStyle name="보통 3 2 2" xfId="2591"/>
    <cellStyle name="보통 3 2 3" xfId="2592"/>
    <cellStyle name="보통 3 2 4" xfId="2593"/>
    <cellStyle name="보통 3 3" xfId="2594"/>
    <cellStyle name="보통 3 4" xfId="2595"/>
    <cellStyle name="보통 3 5" xfId="2596"/>
    <cellStyle name="보통 3 6" xfId="2597"/>
    <cellStyle name="보통 3 7" xfId="2598"/>
    <cellStyle name="보통 3 8" xfId="2599"/>
    <cellStyle name="보통 3 9" xfId="2600"/>
    <cellStyle name="보통 4" xfId="2601"/>
    <cellStyle name="보통 4 2" xfId="2602"/>
    <cellStyle name="보통 4 3" xfId="2603"/>
    <cellStyle name="보통 4 4" xfId="2604"/>
    <cellStyle name="보통 5" xfId="2605"/>
    <cellStyle name="보통 5 10" xfId="2606"/>
    <cellStyle name="보통 5 11" xfId="2607"/>
    <cellStyle name="보통 5 12" xfId="2608"/>
    <cellStyle name="보통 5 13" xfId="2609"/>
    <cellStyle name="보통 5 14" xfId="2610"/>
    <cellStyle name="보통 5 2" xfId="2611"/>
    <cellStyle name="보통 5 3" xfId="2612"/>
    <cellStyle name="보통 5 4" xfId="2613"/>
    <cellStyle name="보통 5 5" xfId="2614"/>
    <cellStyle name="보통 5 6" xfId="2615"/>
    <cellStyle name="보통 5 7" xfId="2616"/>
    <cellStyle name="보통 5 8" xfId="2617"/>
    <cellStyle name="보통 5 9" xfId="2618"/>
    <cellStyle name="보통 6" xfId="2619"/>
    <cellStyle name="보통 6 2" xfId="2620"/>
    <cellStyle name="보통 6 3" xfId="2621"/>
    <cellStyle name="보통 6 4" xfId="2622"/>
    <cellStyle name="보통 6 5" xfId="2623"/>
    <cellStyle name="보통 7" xfId="2624"/>
    <cellStyle name="보통 7 2" xfId="2625"/>
    <cellStyle name="보통 8" xfId="2626"/>
    <cellStyle name="보통 8 2" xfId="2627"/>
    <cellStyle name="보통 9" xfId="2628"/>
    <cellStyle name="보통 9 2" xfId="2629"/>
    <cellStyle name="설명 텍스트 10" xfId="2630"/>
    <cellStyle name="설명 텍스트 10 2" xfId="2631"/>
    <cellStyle name="설명 텍스트 11" xfId="2632"/>
    <cellStyle name="설명 텍스트 11 2" xfId="2633"/>
    <cellStyle name="설명 텍스트 12" xfId="2634"/>
    <cellStyle name="설명 텍스트 12 2" xfId="2635"/>
    <cellStyle name="설명 텍스트 13" xfId="2636"/>
    <cellStyle name="설명 텍스트 13 2" xfId="2637"/>
    <cellStyle name="설명 텍스트 14" xfId="2638"/>
    <cellStyle name="설명 텍스트 15" xfId="2639"/>
    <cellStyle name="설명 텍스트 2" xfId="2640"/>
    <cellStyle name="설명 텍스트 2 10" xfId="2641"/>
    <cellStyle name="설명 텍스트 2 11" xfId="2642"/>
    <cellStyle name="설명 텍스트 2 12" xfId="2643"/>
    <cellStyle name="설명 텍스트 2 13" xfId="2644"/>
    <cellStyle name="설명 텍스트 2 14" xfId="2645"/>
    <cellStyle name="설명 텍스트 2 2" xfId="2646"/>
    <cellStyle name="설명 텍스트 2 3" xfId="2647"/>
    <cellStyle name="설명 텍스트 2 4" xfId="2648"/>
    <cellStyle name="설명 텍스트 2 5" xfId="2649"/>
    <cellStyle name="설명 텍스트 2 6" xfId="2650"/>
    <cellStyle name="설명 텍스트 2 7" xfId="2651"/>
    <cellStyle name="설명 텍스트 2 8" xfId="2652"/>
    <cellStyle name="설명 텍스트 2 9" xfId="2653"/>
    <cellStyle name="설명 텍스트 3" xfId="2654"/>
    <cellStyle name="설명 텍스트 3 10" xfId="2655"/>
    <cellStyle name="설명 텍스트 3 2" xfId="2656"/>
    <cellStyle name="설명 텍스트 3 2 2" xfId="2657"/>
    <cellStyle name="설명 텍스트 3 2 3" xfId="2658"/>
    <cellStyle name="설명 텍스트 3 2 4" xfId="2659"/>
    <cellStyle name="설명 텍스트 3 3" xfId="2660"/>
    <cellStyle name="설명 텍스트 3 4" xfId="2661"/>
    <cellStyle name="설명 텍스트 3 5" xfId="2662"/>
    <cellStyle name="설명 텍스트 3 6" xfId="2663"/>
    <cellStyle name="설명 텍스트 3 7" xfId="2664"/>
    <cellStyle name="설명 텍스트 3 8" xfId="2665"/>
    <cellStyle name="설명 텍스트 3 9" xfId="2666"/>
    <cellStyle name="설명 텍스트 4" xfId="2667"/>
    <cellStyle name="설명 텍스트 4 2" xfId="2668"/>
    <cellStyle name="설명 텍스트 4 3" xfId="2669"/>
    <cellStyle name="설명 텍스트 4 4" xfId="2670"/>
    <cellStyle name="설명 텍스트 5" xfId="2671"/>
    <cellStyle name="설명 텍스트 5 10" xfId="2672"/>
    <cellStyle name="설명 텍스트 5 11" xfId="2673"/>
    <cellStyle name="설명 텍스트 5 12" xfId="2674"/>
    <cellStyle name="설명 텍스트 5 13" xfId="2675"/>
    <cellStyle name="설명 텍스트 5 14" xfId="2676"/>
    <cellStyle name="설명 텍스트 5 2" xfId="2677"/>
    <cellStyle name="설명 텍스트 5 3" xfId="2678"/>
    <cellStyle name="설명 텍스트 5 4" xfId="2679"/>
    <cellStyle name="설명 텍스트 5 5" xfId="2680"/>
    <cellStyle name="설명 텍스트 5 6" xfId="2681"/>
    <cellStyle name="설명 텍스트 5 7" xfId="2682"/>
    <cellStyle name="설명 텍스트 5 8" xfId="2683"/>
    <cellStyle name="설명 텍스트 5 9" xfId="2684"/>
    <cellStyle name="설명 텍스트 6" xfId="2685"/>
    <cellStyle name="설명 텍스트 6 2" xfId="2686"/>
    <cellStyle name="설명 텍스트 6 3" xfId="2687"/>
    <cellStyle name="설명 텍스트 6 4" xfId="2688"/>
    <cellStyle name="설명 텍스트 6 5" xfId="2689"/>
    <cellStyle name="설명 텍스트 7" xfId="2690"/>
    <cellStyle name="설명 텍스트 7 2" xfId="2691"/>
    <cellStyle name="설명 텍스트 8" xfId="2692"/>
    <cellStyle name="설명 텍스트 8 2" xfId="2693"/>
    <cellStyle name="설명 텍스트 9" xfId="2694"/>
    <cellStyle name="설명 텍스트 9 2" xfId="2695"/>
    <cellStyle name="셀 확인 10" xfId="2696"/>
    <cellStyle name="셀 확인 11" xfId="2697"/>
    <cellStyle name="셀 확인 12" xfId="2698"/>
    <cellStyle name="셀 확인 13" xfId="2699"/>
    <cellStyle name="셀 확인 14" xfId="2700"/>
    <cellStyle name="셀 확인 2" xfId="2701"/>
    <cellStyle name="셀 확인 2 10" xfId="2702"/>
    <cellStyle name="셀 확인 2 11" xfId="2703"/>
    <cellStyle name="셀 확인 2 12" xfId="2704"/>
    <cellStyle name="셀 확인 2 13" xfId="2705"/>
    <cellStyle name="셀 확인 2 14" xfId="2706"/>
    <cellStyle name="셀 확인 2 2" xfId="2707"/>
    <cellStyle name="셀 확인 2 3" xfId="2708"/>
    <cellStyle name="셀 확인 2 4" xfId="2709"/>
    <cellStyle name="셀 확인 2 5" xfId="2710"/>
    <cellStyle name="셀 확인 2 6" xfId="2711"/>
    <cellStyle name="셀 확인 2 7" xfId="2712"/>
    <cellStyle name="셀 확인 2 8" xfId="2713"/>
    <cellStyle name="셀 확인 2 9" xfId="2714"/>
    <cellStyle name="셀 확인 29" xfId="2715"/>
    <cellStyle name="셀 확인 29 2" xfId="2716"/>
    <cellStyle name="셀 확인 3" xfId="2717"/>
    <cellStyle name="셀 확인 3 10" xfId="2718"/>
    <cellStyle name="셀 확인 3 2" xfId="2719"/>
    <cellStyle name="셀 확인 3 2 2" xfId="2720"/>
    <cellStyle name="셀 확인 3 2 3" xfId="2721"/>
    <cellStyle name="셀 확인 3 2 4" xfId="2722"/>
    <cellStyle name="셀 확인 3 3" xfId="2723"/>
    <cellStyle name="셀 확인 3 4" xfId="2724"/>
    <cellStyle name="셀 확인 3 5" xfId="2725"/>
    <cellStyle name="셀 확인 3 6" xfId="2726"/>
    <cellStyle name="셀 확인 3 7" xfId="2727"/>
    <cellStyle name="셀 확인 3 8" xfId="2728"/>
    <cellStyle name="셀 확인 3 9" xfId="2729"/>
    <cellStyle name="셀 확인 30" xfId="2730"/>
    <cellStyle name="셀 확인 30 2" xfId="2731"/>
    <cellStyle name="셀 확인 31" xfId="2732"/>
    <cellStyle name="셀 확인 31 2" xfId="2733"/>
    <cellStyle name="셀 확인 32" xfId="2734"/>
    <cellStyle name="셀 확인 32 2" xfId="2735"/>
    <cellStyle name="셀 확인 33" xfId="2736"/>
    <cellStyle name="셀 확인 33 2" xfId="2737"/>
    <cellStyle name="셀 확인 34" xfId="2738"/>
    <cellStyle name="셀 확인 34 2" xfId="2739"/>
    <cellStyle name="셀 확인 35" xfId="2740"/>
    <cellStyle name="셀 확인 35 2" xfId="2741"/>
    <cellStyle name="셀 확인 36" xfId="2742"/>
    <cellStyle name="셀 확인 36 2" xfId="2743"/>
    <cellStyle name="셀 확인 37" xfId="2744"/>
    <cellStyle name="셀 확인 37 2" xfId="2745"/>
    <cellStyle name="셀 확인 4" xfId="2746"/>
    <cellStyle name="셀 확인 4 2" xfId="2747"/>
    <cellStyle name="셀 확인 4 3" xfId="2748"/>
    <cellStyle name="셀 확인 4 4" xfId="2749"/>
    <cellStyle name="셀 확인 5" xfId="2750"/>
    <cellStyle name="셀 확인 5 10" xfId="2751"/>
    <cellStyle name="셀 확인 5 11" xfId="2752"/>
    <cellStyle name="셀 확인 5 12" xfId="2753"/>
    <cellStyle name="셀 확인 5 13" xfId="2754"/>
    <cellStyle name="셀 확인 5 2" xfId="2755"/>
    <cellStyle name="셀 확인 5 3" xfId="2756"/>
    <cellStyle name="셀 확인 5 4" xfId="2757"/>
    <cellStyle name="셀 확인 5 5" xfId="2758"/>
    <cellStyle name="셀 확인 5 6" xfId="2759"/>
    <cellStyle name="셀 확인 5 7" xfId="2760"/>
    <cellStyle name="셀 확인 5 8" xfId="2761"/>
    <cellStyle name="셀 확인 5 9" xfId="2762"/>
    <cellStyle name="셀 확인 6" xfId="2763"/>
    <cellStyle name="셀 확인 6 2" xfId="2764"/>
    <cellStyle name="셀 확인 6 3" xfId="2765"/>
    <cellStyle name="셀 확인 6 4" xfId="2766"/>
    <cellStyle name="셀 확인 6 5" xfId="2767"/>
    <cellStyle name="셀 확인 7" xfId="2768"/>
    <cellStyle name="셀 확인 8" xfId="2769"/>
    <cellStyle name="셀 확인 9" xfId="2770"/>
    <cellStyle name="연결된 셀 10" xfId="2771"/>
    <cellStyle name="연결된 셀 10 2" xfId="2772"/>
    <cellStyle name="연결된 셀 11" xfId="2773"/>
    <cellStyle name="연결된 셀 11 2" xfId="2774"/>
    <cellStyle name="연결된 셀 12" xfId="2775"/>
    <cellStyle name="연결된 셀 12 2" xfId="2776"/>
    <cellStyle name="연결된 셀 13" xfId="2777"/>
    <cellStyle name="연결된 셀 13 2" xfId="2778"/>
    <cellStyle name="연결된 셀 14" xfId="2779"/>
    <cellStyle name="연결된 셀 15" xfId="2780"/>
    <cellStyle name="연결된 셀 2" xfId="2781"/>
    <cellStyle name="연결된 셀 2 10" xfId="2782"/>
    <cellStyle name="연결된 셀 2 11" xfId="2783"/>
    <cellStyle name="연결된 셀 2 12" xfId="2784"/>
    <cellStyle name="연결된 셀 2 13" xfId="2785"/>
    <cellStyle name="연결된 셀 2 14" xfId="2786"/>
    <cellStyle name="연결된 셀 2 2" xfId="2787"/>
    <cellStyle name="연결된 셀 2 3" xfId="2788"/>
    <cellStyle name="연결된 셀 2 4" xfId="2789"/>
    <cellStyle name="연결된 셀 2 5" xfId="2790"/>
    <cellStyle name="연결된 셀 2 6" xfId="2791"/>
    <cellStyle name="연결된 셀 2 7" xfId="2792"/>
    <cellStyle name="연결된 셀 2 8" xfId="2793"/>
    <cellStyle name="연결된 셀 2 9" xfId="2794"/>
    <cellStyle name="연결된 셀 3" xfId="2795"/>
    <cellStyle name="연결된 셀 3 10" xfId="2796"/>
    <cellStyle name="연결된 셀 3 2" xfId="2797"/>
    <cellStyle name="연결된 셀 3 2 2" xfId="2798"/>
    <cellStyle name="연결된 셀 3 2 3" xfId="2799"/>
    <cellStyle name="연결된 셀 3 2 4" xfId="2800"/>
    <cellStyle name="연결된 셀 3 3" xfId="2801"/>
    <cellStyle name="연결된 셀 3 4" xfId="2802"/>
    <cellStyle name="연결된 셀 3 5" xfId="2803"/>
    <cellStyle name="연결된 셀 3 6" xfId="2804"/>
    <cellStyle name="연결된 셀 3 7" xfId="2805"/>
    <cellStyle name="연결된 셀 3 8" xfId="2806"/>
    <cellStyle name="연결된 셀 3 9" xfId="2807"/>
    <cellStyle name="연결된 셀 4" xfId="2808"/>
    <cellStyle name="연결된 셀 4 2" xfId="2809"/>
    <cellStyle name="연결된 셀 4 3" xfId="2810"/>
    <cellStyle name="연결된 셀 4 4" xfId="2811"/>
    <cellStyle name="연결된 셀 5" xfId="2812"/>
    <cellStyle name="연결된 셀 5 10" xfId="2813"/>
    <cellStyle name="연결된 셀 5 11" xfId="2814"/>
    <cellStyle name="연결된 셀 5 12" xfId="2815"/>
    <cellStyle name="연결된 셀 5 13" xfId="2816"/>
    <cellStyle name="연결된 셀 5 14" xfId="2817"/>
    <cellStyle name="연결된 셀 5 2" xfId="2818"/>
    <cellStyle name="연결된 셀 5 3" xfId="2819"/>
    <cellStyle name="연결된 셀 5 4" xfId="2820"/>
    <cellStyle name="연결된 셀 5 5" xfId="2821"/>
    <cellStyle name="연결된 셀 5 6" xfId="2822"/>
    <cellStyle name="연결된 셀 5 7" xfId="2823"/>
    <cellStyle name="연결된 셀 5 8" xfId="2824"/>
    <cellStyle name="연결된 셀 5 9" xfId="2825"/>
    <cellStyle name="연결된 셀 6" xfId="2826"/>
    <cellStyle name="연결된 셀 6 2" xfId="2827"/>
    <cellStyle name="연결된 셀 6 3" xfId="2828"/>
    <cellStyle name="연결된 셀 6 4" xfId="2829"/>
    <cellStyle name="연결된 셀 6 5" xfId="2830"/>
    <cellStyle name="연결된 셀 7" xfId="2831"/>
    <cellStyle name="연결된 셀 7 2" xfId="2832"/>
    <cellStyle name="연결된 셀 8" xfId="2833"/>
    <cellStyle name="연결된 셀 8 2" xfId="2834"/>
    <cellStyle name="연결된 셀 9" xfId="2835"/>
    <cellStyle name="연결된 셀 9 2" xfId="2836"/>
    <cellStyle name="요약 10" xfId="2837"/>
    <cellStyle name="요약 10 2" xfId="2838"/>
    <cellStyle name="요약 11" xfId="2839"/>
    <cellStyle name="요약 11 2" xfId="2840"/>
    <cellStyle name="요약 12" xfId="2841"/>
    <cellStyle name="요약 12 2" xfId="2842"/>
    <cellStyle name="요약 13" xfId="2843"/>
    <cellStyle name="요약 13 2" xfId="2844"/>
    <cellStyle name="요약 14" xfId="2845"/>
    <cellStyle name="요약 15" xfId="2846"/>
    <cellStyle name="요약 2" xfId="2847"/>
    <cellStyle name="요약 2 10" xfId="2848"/>
    <cellStyle name="요약 2 11" xfId="2849"/>
    <cellStyle name="요약 2 12" xfId="2850"/>
    <cellStyle name="요약 2 13" xfId="2851"/>
    <cellStyle name="요약 2 14" xfId="2852"/>
    <cellStyle name="요약 2 2" xfId="2853"/>
    <cellStyle name="요약 2 3" xfId="2854"/>
    <cellStyle name="요약 2 4" xfId="2855"/>
    <cellStyle name="요약 2 5" xfId="2856"/>
    <cellStyle name="요약 2 6" xfId="2857"/>
    <cellStyle name="요약 2 7" xfId="2858"/>
    <cellStyle name="요약 2 8" xfId="2859"/>
    <cellStyle name="요약 2 9" xfId="2860"/>
    <cellStyle name="요약 3" xfId="2861"/>
    <cellStyle name="요약 3 10" xfId="2862"/>
    <cellStyle name="요약 3 2" xfId="2863"/>
    <cellStyle name="요약 3 2 2" xfId="2864"/>
    <cellStyle name="요약 3 2 3" xfId="2865"/>
    <cellStyle name="요약 3 2 4" xfId="2866"/>
    <cellStyle name="요약 3 3" xfId="2867"/>
    <cellStyle name="요약 3 4" xfId="2868"/>
    <cellStyle name="요약 3 5" xfId="2869"/>
    <cellStyle name="요약 3 6" xfId="2870"/>
    <cellStyle name="요약 3 7" xfId="2871"/>
    <cellStyle name="요약 3 8" xfId="2872"/>
    <cellStyle name="요약 3 9" xfId="2873"/>
    <cellStyle name="요약 4" xfId="2874"/>
    <cellStyle name="요약 4 2" xfId="2875"/>
    <cellStyle name="요약 4 3" xfId="2876"/>
    <cellStyle name="요약 4 4" xfId="2877"/>
    <cellStyle name="요약 5" xfId="2878"/>
    <cellStyle name="요약 5 10" xfId="2879"/>
    <cellStyle name="요약 5 11" xfId="2880"/>
    <cellStyle name="요약 5 12" xfId="2881"/>
    <cellStyle name="요약 5 13" xfId="2882"/>
    <cellStyle name="요약 5 14" xfId="2883"/>
    <cellStyle name="요약 5 2" xfId="2884"/>
    <cellStyle name="요약 5 3" xfId="2885"/>
    <cellStyle name="요약 5 4" xfId="2886"/>
    <cellStyle name="요약 5 5" xfId="2887"/>
    <cellStyle name="요약 5 6" xfId="2888"/>
    <cellStyle name="요약 5 7" xfId="2889"/>
    <cellStyle name="요약 5 8" xfId="2890"/>
    <cellStyle name="요약 5 9" xfId="2891"/>
    <cellStyle name="요약 6" xfId="2892"/>
    <cellStyle name="요약 6 2" xfId="2893"/>
    <cellStyle name="요약 6 3" xfId="2894"/>
    <cellStyle name="요약 6 4" xfId="2895"/>
    <cellStyle name="요약 6 5" xfId="2896"/>
    <cellStyle name="요약 7" xfId="2897"/>
    <cellStyle name="요약 7 2" xfId="2898"/>
    <cellStyle name="요약 8" xfId="2899"/>
    <cellStyle name="요약 8 2" xfId="2900"/>
    <cellStyle name="요약 9" xfId="2901"/>
    <cellStyle name="요약 9 2" xfId="2902"/>
    <cellStyle name="입력 10" xfId="2903"/>
    <cellStyle name="입력 10 2" xfId="2904"/>
    <cellStyle name="입력 11" xfId="2905"/>
    <cellStyle name="입력 11 2" xfId="2906"/>
    <cellStyle name="입력 12" xfId="2907"/>
    <cellStyle name="입력 12 2" xfId="2908"/>
    <cellStyle name="입력 13" xfId="2909"/>
    <cellStyle name="입력 13 2" xfId="2910"/>
    <cellStyle name="입력 14" xfId="2911"/>
    <cellStyle name="입력 15" xfId="2912"/>
    <cellStyle name="입력 2" xfId="2913"/>
    <cellStyle name="입력 2 10" xfId="2914"/>
    <cellStyle name="입력 2 11" xfId="2915"/>
    <cellStyle name="입력 2 12" xfId="2916"/>
    <cellStyle name="입력 2 13" xfId="2917"/>
    <cellStyle name="입력 2 14" xfId="2918"/>
    <cellStyle name="입력 2 2" xfId="2919"/>
    <cellStyle name="입력 2 3" xfId="2920"/>
    <cellStyle name="입력 2 4" xfId="2921"/>
    <cellStyle name="입력 2 5" xfId="2922"/>
    <cellStyle name="입력 2 6" xfId="2923"/>
    <cellStyle name="입력 2 7" xfId="2924"/>
    <cellStyle name="입력 2 8" xfId="2925"/>
    <cellStyle name="입력 2 9" xfId="2926"/>
    <cellStyle name="입력 3" xfId="2927"/>
    <cellStyle name="입력 3 10" xfId="2928"/>
    <cellStyle name="입력 3 2" xfId="2929"/>
    <cellStyle name="입력 3 2 2" xfId="2930"/>
    <cellStyle name="입력 3 2 3" xfId="2931"/>
    <cellStyle name="입력 3 2 4" xfId="2932"/>
    <cellStyle name="입력 3 3" xfId="2933"/>
    <cellStyle name="입력 3 4" xfId="2934"/>
    <cellStyle name="입력 3 5" xfId="2935"/>
    <cellStyle name="입력 3 6" xfId="2936"/>
    <cellStyle name="입력 3 7" xfId="2937"/>
    <cellStyle name="입력 3 8" xfId="2938"/>
    <cellStyle name="입력 3 9" xfId="2939"/>
    <cellStyle name="입력 4" xfId="2940"/>
    <cellStyle name="입력 4 2" xfId="2941"/>
    <cellStyle name="입력 4 3" xfId="2942"/>
    <cellStyle name="입력 4 4" xfId="2943"/>
    <cellStyle name="입력 5" xfId="2944"/>
    <cellStyle name="입력 5 10" xfId="2945"/>
    <cellStyle name="입력 5 11" xfId="2946"/>
    <cellStyle name="입력 5 12" xfId="2947"/>
    <cellStyle name="입력 5 13" xfId="2948"/>
    <cellStyle name="입력 5 14" xfId="2949"/>
    <cellStyle name="입력 5 2" xfId="2950"/>
    <cellStyle name="입력 5 3" xfId="2951"/>
    <cellStyle name="입력 5 4" xfId="2952"/>
    <cellStyle name="입력 5 5" xfId="2953"/>
    <cellStyle name="입력 5 6" xfId="2954"/>
    <cellStyle name="입력 5 7" xfId="2955"/>
    <cellStyle name="입력 5 8" xfId="2956"/>
    <cellStyle name="입력 5 9" xfId="2957"/>
    <cellStyle name="입력 6" xfId="2958"/>
    <cellStyle name="입력 6 2" xfId="2959"/>
    <cellStyle name="입력 6 3" xfId="2960"/>
    <cellStyle name="입력 6 4" xfId="2961"/>
    <cellStyle name="입력 6 5" xfId="2962"/>
    <cellStyle name="입력 7" xfId="2963"/>
    <cellStyle name="입력 7 2" xfId="2964"/>
    <cellStyle name="입력 8" xfId="2965"/>
    <cellStyle name="입력 8 2" xfId="2966"/>
    <cellStyle name="입력 9" xfId="2967"/>
    <cellStyle name="입력 9 2" xfId="2968"/>
    <cellStyle name="제목 1 1" xfId="2969"/>
    <cellStyle name="제목 1 1 2" xfId="2970"/>
    <cellStyle name="제목 1 1 3" xfId="2971"/>
    <cellStyle name="제목 1 10" xfId="2972"/>
    <cellStyle name="제목 1 10 2" xfId="2973"/>
    <cellStyle name="제목 1 11" xfId="2974"/>
    <cellStyle name="제목 1 11 2" xfId="2975"/>
    <cellStyle name="제목 1 12" xfId="2976"/>
    <cellStyle name="제목 1 12 2" xfId="2977"/>
    <cellStyle name="제목 1 13" xfId="2978"/>
    <cellStyle name="제목 1 13 2" xfId="2979"/>
    <cellStyle name="제목 1 14" xfId="2980"/>
    <cellStyle name="제목 1 15" xfId="2981"/>
    <cellStyle name="제목 1 2" xfId="2982"/>
    <cellStyle name="제목 1 2 10" xfId="2983"/>
    <cellStyle name="제목 1 2 11" xfId="2984"/>
    <cellStyle name="제목 1 2 12" xfId="2985"/>
    <cellStyle name="제목 1 2 13" xfId="2986"/>
    <cellStyle name="제목 1 2 14" xfId="2987"/>
    <cellStyle name="제목 1 2 2" xfId="2988"/>
    <cellStyle name="제목 1 2 3" xfId="2989"/>
    <cellStyle name="제목 1 2 4" xfId="2990"/>
    <cellStyle name="제목 1 2 5" xfId="2991"/>
    <cellStyle name="제목 1 2 6" xfId="2992"/>
    <cellStyle name="제목 1 2 7" xfId="2993"/>
    <cellStyle name="제목 1 2 8" xfId="2994"/>
    <cellStyle name="제목 1 2 9" xfId="2995"/>
    <cellStyle name="제목 1 3" xfId="2996"/>
    <cellStyle name="제목 1 3 10" xfId="2997"/>
    <cellStyle name="제목 1 3 2" xfId="2998"/>
    <cellStyle name="제목 1 3 2 2" xfId="2999"/>
    <cellStyle name="제목 1 3 2 3" xfId="3000"/>
    <cellStyle name="제목 1 3 2 4" xfId="3001"/>
    <cellStyle name="제목 1 3 3" xfId="3002"/>
    <cellStyle name="제목 1 3 4" xfId="3003"/>
    <cellStyle name="제목 1 3 5" xfId="3004"/>
    <cellStyle name="제목 1 3 6" xfId="3005"/>
    <cellStyle name="제목 1 3 7" xfId="3006"/>
    <cellStyle name="제목 1 3 8" xfId="3007"/>
    <cellStyle name="제목 1 3 9" xfId="3008"/>
    <cellStyle name="제목 1 4" xfId="3009"/>
    <cellStyle name="제목 1 4 2" xfId="3010"/>
    <cellStyle name="제목 1 4 3" xfId="3011"/>
    <cellStyle name="제목 1 4 4" xfId="3012"/>
    <cellStyle name="제목 1 5" xfId="3013"/>
    <cellStyle name="제목 1 5 10" xfId="3014"/>
    <cellStyle name="제목 1 5 11" xfId="3015"/>
    <cellStyle name="제목 1 5 12" xfId="3016"/>
    <cellStyle name="제목 1 5 13" xfId="3017"/>
    <cellStyle name="제목 1 5 14" xfId="3018"/>
    <cellStyle name="제목 1 5 2" xfId="3019"/>
    <cellStyle name="제목 1 5 3" xfId="3020"/>
    <cellStyle name="제목 1 5 4" xfId="3021"/>
    <cellStyle name="제목 1 5 5" xfId="3022"/>
    <cellStyle name="제목 1 5 6" xfId="3023"/>
    <cellStyle name="제목 1 5 7" xfId="3024"/>
    <cellStyle name="제목 1 5 8" xfId="3025"/>
    <cellStyle name="제목 1 5 9" xfId="3026"/>
    <cellStyle name="제목 1 6" xfId="3027"/>
    <cellStyle name="제목 1 6 2" xfId="3028"/>
    <cellStyle name="제목 1 6 3" xfId="3029"/>
    <cellStyle name="제목 1 6 4" xfId="3030"/>
    <cellStyle name="제목 1 6 5" xfId="3031"/>
    <cellStyle name="제목 1 7" xfId="3032"/>
    <cellStyle name="제목 1 7 2" xfId="3033"/>
    <cellStyle name="제목 1 8" xfId="3034"/>
    <cellStyle name="제목 1 8 2" xfId="3035"/>
    <cellStyle name="제목 1 9" xfId="3036"/>
    <cellStyle name="제목 1 9 2" xfId="3037"/>
    <cellStyle name="제목 10" xfId="3038"/>
    <cellStyle name="제목 10 2" xfId="3039"/>
    <cellStyle name="제목 11" xfId="3040"/>
    <cellStyle name="제목 11 2" xfId="3041"/>
    <cellStyle name="제목 12" xfId="3042"/>
    <cellStyle name="제목 12 2" xfId="3043"/>
    <cellStyle name="제목 13" xfId="3044"/>
    <cellStyle name="제목 13 2" xfId="3045"/>
    <cellStyle name="제목 14" xfId="3046"/>
    <cellStyle name="제목 14 2" xfId="3047"/>
    <cellStyle name="제목 15" xfId="3048"/>
    <cellStyle name="제목 15 2" xfId="3049"/>
    <cellStyle name="제목 16" xfId="3050"/>
    <cellStyle name="제목 16 2" xfId="3051"/>
    <cellStyle name="제목 17" xfId="3052"/>
    <cellStyle name="제목 2 10" xfId="3053"/>
    <cellStyle name="제목 2 10 2" xfId="3054"/>
    <cellStyle name="제목 2 11" xfId="3055"/>
    <cellStyle name="제목 2 11 2" xfId="3056"/>
    <cellStyle name="제목 2 12" xfId="3057"/>
    <cellStyle name="제목 2 12 2" xfId="3058"/>
    <cellStyle name="제목 2 13" xfId="3059"/>
    <cellStyle name="제목 2 13 2" xfId="3060"/>
    <cellStyle name="제목 2 14" xfId="3061"/>
    <cellStyle name="제목 2 15" xfId="3062"/>
    <cellStyle name="제목 2 2" xfId="3063"/>
    <cellStyle name="제목 2 2 10" xfId="3064"/>
    <cellStyle name="제목 2 2 11" xfId="3065"/>
    <cellStyle name="제목 2 2 12" xfId="3066"/>
    <cellStyle name="제목 2 2 13" xfId="3067"/>
    <cellStyle name="제목 2 2 14" xfId="3068"/>
    <cellStyle name="제목 2 2 2" xfId="3069"/>
    <cellStyle name="제목 2 2 3" xfId="3070"/>
    <cellStyle name="제목 2 2 4" xfId="3071"/>
    <cellStyle name="제목 2 2 5" xfId="3072"/>
    <cellStyle name="제목 2 2 6" xfId="3073"/>
    <cellStyle name="제목 2 2 7" xfId="3074"/>
    <cellStyle name="제목 2 2 8" xfId="3075"/>
    <cellStyle name="제목 2 2 9" xfId="3076"/>
    <cellStyle name="제목 2 3" xfId="3077"/>
    <cellStyle name="제목 2 3 10" xfId="3078"/>
    <cellStyle name="제목 2 3 2" xfId="3079"/>
    <cellStyle name="제목 2 3 2 2" xfId="3080"/>
    <cellStyle name="제목 2 3 2 3" xfId="3081"/>
    <cellStyle name="제목 2 3 2 4" xfId="3082"/>
    <cellStyle name="제목 2 3 3" xfId="3083"/>
    <cellStyle name="제목 2 3 4" xfId="3084"/>
    <cellStyle name="제목 2 3 5" xfId="3085"/>
    <cellStyle name="제목 2 3 6" xfId="3086"/>
    <cellStyle name="제목 2 3 7" xfId="3087"/>
    <cellStyle name="제목 2 3 8" xfId="3088"/>
    <cellStyle name="제목 2 3 9" xfId="3089"/>
    <cellStyle name="제목 2 4" xfId="3090"/>
    <cellStyle name="제목 2 4 2" xfId="3091"/>
    <cellStyle name="제목 2 4 3" xfId="3092"/>
    <cellStyle name="제목 2 4 4" xfId="3093"/>
    <cellStyle name="제목 2 5" xfId="3094"/>
    <cellStyle name="제목 2 5 10" xfId="3095"/>
    <cellStyle name="제목 2 5 11" xfId="3096"/>
    <cellStyle name="제목 2 5 12" xfId="3097"/>
    <cellStyle name="제목 2 5 13" xfId="3098"/>
    <cellStyle name="제목 2 5 14" xfId="3099"/>
    <cellStyle name="제목 2 5 2" xfId="3100"/>
    <cellStyle name="제목 2 5 3" xfId="3101"/>
    <cellStyle name="제목 2 5 4" xfId="3102"/>
    <cellStyle name="제목 2 5 5" xfId="3103"/>
    <cellStyle name="제목 2 5 6" xfId="3104"/>
    <cellStyle name="제목 2 5 7" xfId="3105"/>
    <cellStyle name="제목 2 5 8" xfId="3106"/>
    <cellStyle name="제목 2 5 9" xfId="3107"/>
    <cellStyle name="제목 2 6" xfId="3108"/>
    <cellStyle name="제목 2 6 2" xfId="3109"/>
    <cellStyle name="제목 2 6 3" xfId="3110"/>
    <cellStyle name="제목 2 6 4" xfId="3111"/>
    <cellStyle name="제목 2 6 5" xfId="3112"/>
    <cellStyle name="제목 2 7" xfId="3113"/>
    <cellStyle name="제목 2 7 2" xfId="3114"/>
    <cellStyle name="제목 2 8" xfId="3115"/>
    <cellStyle name="제목 2 8 2" xfId="3116"/>
    <cellStyle name="제목 2 9" xfId="3117"/>
    <cellStyle name="제목 2 9 2" xfId="3118"/>
    <cellStyle name="제목 3 10" xfId="3119"/>
    <cellStyle name="제목 3 10 2" xfId="3120"/>
    <cellStyle name="제목 3 11" xfId="3121"/>
    <cellStyle name="제목 3 11 2" xfId="3122"/>
    <cellStyle name="제목 3 12" xfId="3123"/>
    <cellStyle name="제목 3 12 2" xfId="3124"/>
    <cellStyle name="제목 3 13" xfId="3125"/>
    <cellStyle name="제목 3 13 2" xfId="3126"/>
    <cellStyle name="제목 3 14" xfId="3127"/>
    <cellStyle name="제목 3 15" xfId="3128"/>
    <cellStyle name="제목 3 2" xfId="3129"/>
    <cellStyle name="제목 3 2 10" xfId="3130"/>
    <cellStyle name="제목 3 2 11" xfId="3131"/>
    <cellStyle name="제목 3 2 12" xfId="3132"/>
    <cellStyle name="제목 3 2 13" xfId="3133"/>
    <cellStyle name="제목 3 2 14" xfId="3134"/>
    <cellStyle name="제목 3 2 2" xfId="3135"/>
    <cellStyle name="제목 3 2 3" xfId="3136"/>
    <cellStyle name="제목 3 2 4" xfId="3137"/>
    <cellStyle name="제목 3 2 5" xfId="3138"/>
    <cellStyle name="제목 3 2 6" xfId="3139"/>
    <cellStyle name="제목 3 2 7" xfId="3140"/>
    <cellStyle name="제목 3 2 8" xfId="3141"/>
    <cellStyle name="제목 3 2 9" xfId="3142"/>
    <cellStyle name="제목 3 3" xfId="3143"/>
    <cellStyle name="제목 3 3 10" xfId="3144"/>
    <cellStyle name="제목 3 3 2" xfId="3145"/>
    <cellStyle name="제목 3 3 2 2" xfId="3146"/>
    <cellStyle name="제목 3 3 2 3" xfId="3147"/>
    <cellStyle name="제목 3 3 2 4" xfId="3148"/>
    <cellStyle name="제목 3 3 3" xfId="3149"/>
    <cellStyle name="제목 3 3 4" xfId="3150"/>
    <cellStyle name="제목 3 3 5" xfId="3151"/>
    <cellStyle name="제목 3 3 6" xfId="3152"/>
    <cellStyle name="제목 3 3 7" xfId="3153"/>
    <cellStyle name="제목 3 3 8" xfId="3154"/>
    <cellStyle name="제목 3 3 9" xfId="3155"/>
    <cellStyle name="제목 3 4" xfId="3156"/>
    <cellStyle name="제목 3 4 2" xfId="3157"/>
    <cellStyle name="제목 3 4 3" xfId="3158"/>
    <cellStyle name="제목 3 4 4" xfId="3159"/>
    <cellStyle name="제목 3 5" xfId="3160"/>
    <cellStyle name="제목 3 5 10" xfId="3161"/>
    <cellStyle name="제목 3 5 11" xfId="3162"/>
    <cellStyle name="제목 3 5 12" xfId="3163"/>
    <cellStyle name="제목 3 5 13" xfId="3164"/>
    <cellStyle name="제목 3 5 14" xfId="3165"/>
    <cellStyle name="제목 3 5 2" xfId="3166"/>
    <cellStyle name="제목 3 5 3" xfId="3167"/>
    <cellStyle name="제목 3 5 4" xfId="3168"/>
    <cellStyle name="제목 3 5 5" xfId="3169"/>
    <cellStyle name="제목 3 5 6" xfId="3170"/>
    <cellStyle name="제목 3 5 7" xfId="3171"/>
    <cellStyle name="제목 3 5 8" xfId="3172"/>
    <cellStyle name="제목 3 5 9" xfId="3173"/>
    <cellStyle name="제목 3 6" xfId="3174"/>
    <cellStyle name="제목 3 6 2" xfId="3175"/>
    <cellStyle name="제목 3 6 3" xfId="3176"/>
    <cellStyle name="제목 3 6 4" xfId="3177"/>
    <cellStyle name="제목 3 6 5" xfId="3178"/>
    <cellStyle name="제목 3 7" xfId="3179"/>
    <cellStyle name="제목 3 7 2" xfId="3180"/>
    <cellStyle name="제목 3 8" xfId="3181"/>
    <cellStyle name="제목 3 8 2" xfId="3182"/>
    <cellStyle name="제목 3 9" xfId="3183"/>
    <cellStyle name="제목 3 9 2" xfId="3184"/>
    <cellStyle name="제목 4 10" xfId="3185"/>
    <cellStyle name="제목 4 10 2" xfId="3186"/>
    <cellStyle name="제목 4 11" xfId="3187"/>
    <cellStyle name="제목 4 11 2" xfId="3188"/>
    <cellStyle name="제목 4 12" xfId="3189"/>
    <cellStyle name="제목 4 12 2" xfId="3190"/>
    <cellStyle name="제목 4 13" xfId="3191"/>
    <cellStyle name="제목 4 13 2" xfId="3192"/>
    <cellStyle name="제목 4 14" xfId="3193"/>
    <cellStyle name="제목 4 15" xfId="3194"/>
    <cellStyle name="제목 4 2" xfId="3195"/>
    <cellStyle name="제목 4 2 10" xfId="3196"/>
    <cellStyle name="제목 4 2 11" xfId="3197"/>
    <cellStyle name="제목 4 2 12" xfId="3198"/>
    <cellStyle name="제목 4 2 13" xfId="3199"/>
    <cellStyle name="제목 4 2 14" xfId="3200"/>
    <cellStyle name="제목 4 2 2" xfId="3201"/>
    <cellStyle name="제목 4 2 3" xfId="3202"/>
    <cellStyle name="제목 4 2 4" xfId="3203"/>
    <cellStyle name="제목 4 2 5" xfId="3204"/>
    <cellStyle name="제목 4 2 6" xfId="3205"/>
    <cellStyle name="제목 4 2 7" xfId="3206"/>
    <cellStyle name="제목 4 2 8" xfId="3207"/>
    <cellStyle name="제목 4 2 9" xfId="3208"/>
    <cellStyle name="제목 4 3" xfId="3209"/>
    <cellStyle name="제목 4 3 10" xfId="3210"/>
    <cellStyle name="제목 4 3 2" xfId="3211"/>
    <cellStyle name="제목 4 3 2 2" xfId="3212"/>
    <cellStyle name="제목 4 3 2 3" xfId="3213"/>
    <cellStyle name="제목 4 3 2 4" xfId="3214"/>
    <cellStyle name="제목 4 3 3" xfId="3215"/>
    <cellStyle name="제목 4 3 4" xfId="3216"/>
    <cellStyle name="제목 4 3 5" xfId="3217"/>
    <cellStyle name="제목 4 3 6" xfId="3218"/>
    <cellStyle name="제목 4 3 7" xfId="3219"/>
    <cellStyle name="제목 4 3 8" xfId="3220"/>
    <cellStyle name="제목 4 3 9" xfId="3221"/>
    <cellStyle name="제목 4 4" xfId="3222"/>
    <cellStyle name="제목 4 4 2" xfId="3223"/>
    <cellStyle name="제목 4 4 3" xfId="3224"/>
    <cellStyle name="제목 4 4 4" xfId="3225"/>
    <cellStyle name="제목 4 5" xfId="3226"/>
    <cellStyle name="제목 4 5 10" xfId="3227"/>
    <cellStyle name="제목 4 5 11" xfId="3228"/>
    <cellStyle name="제목 4 5 12" xfId="3229"/>
    <cellStyle name="제목 4 5 13" xfId="3230"/>
    <cellStyle name="제목 4 5 14" xfId="3231"/>
    <cellStyle name="제목 4 5 2" xfId="3232"/>
    <cellStyle name="제목 4 5 3" xfId="3233"/>
    <cellStyle name="제목 4 5 4" xfId="3234"/>
    <cellStyle name="제목 4 5 5" xfId="3235"/>
    <cellStyle name="제목 4 5 6" xfId="3236"/>
    <cellStyle name="제목 4 5 7" xfId="3237"/>
    <cellStyle name="제목 4 5 8" xfId="3238"/>
    <cellStyle name="제목 4 5 9" xfId="3239"/>
    <cellStyle name="제목 4 6" xfId="3240"/>
    <cellStyle name="제목 4 6 2" xfId="3241"/>
    <cellStyle name="제목 4 6 3" xfId="3242"/>
    <cellStyle name="제목 4 6 4" xfId="3243"/>
    <cellStyle name="제목 4 6 5" xfId="3244"/>
    <cellStyle name="제목 4 7" xfId="3245"/>
    <cellStyle name="제목 4 7 2" xfId="3246"/>
    <cellStyle name="제목 4 8" xfId="3247"/>
    <cellStyle name="제목 4 8 2" xfId="3248"/>
    <cellStyle name="제목 4 9" xfId="3249"/>
    <cellStyle name="제목 4 9 2" xfId="3250"/>
    <cellStyle name="제목 5" xfId="3251"/>
    <cellStyle name="제목 5 10" xfId="3252"/>
    <cellStyle name="제목 5 11" xfId="3253"/>
    <cellStyle name="제목 5 12" xfId="3254"/>
    <cellStyle name="제목 5 13" xfId="3255"/>
    <cellStyle name="제목 5 14" xfId="3256"/>
    <cellStyle name="제목 5 2" xfId="3257"/>
    <cellStyle name="제목 5 3" xfId="3258"/>
    <cellStyle name="제목 5 4" xfId="3259"/>
    <cellStyle name="제목 5 5" xfId="3260"/>
    <cellStyle name="제목 5 6" xfId="3261"/>
    <cellStyle name="제목 5 7" xfId="3262"/>
    <cellStyle name="제목 5 8" xfId="3263"/>
    <cellStyle name="제목 5 9" xfId="3264"/>
    <cellStyle name="제목 6" xfId="3265"/>
    <cellStyle name="제목 6 2" xfId="3266"/>
    <cellStyle name="제목 6 3" xfId="3267"/>
    <cellStyle name="제목 6 4" xfId="3268"/>
    <cellStyle name="제목 7" xfId="3269"/>
    <cellStyle name="제목 7 10" xfId="3270"/>
    <cellStyle name="제목 7 11" xfId="3271"/>
    <cellStyle name="제목 7 12" xfId="3272"/>
    <cellStyle name="제목 7 13" xfId="3273"/>
    <cellStyle name="제목 7 14" xfId="3274"/>
    <cellStyle name="제목 7 2" xfId="3275"/>
    <cellStyle name="제목 7 3" xfId="3276"/>
    <cellStyle name="제목 7 4" xfId="3277"/>
    <cellStyle name="제목 7 5" xfId="3278"/>
    <cellStyle name="제목 7 6" xfId="3279"/>
    <cellStyle name="제목 7 7" xfId="3280"/>
    <cellStyle name="제목 7 8" xfId="3281"/>
    <cellStyle name="제목 7 9" xfId="3282"/>
    <cellStyle name="제목 8" xfId="3283"/>
    <cellStyle name="제목 8 2" xfId="3284"/>
    <cellStyle name="제목 8 3" xfId="3285"/>
    <cellStyle name="제목 8 4" xfId="3286"/>
    <cellStyle name="제목 9" xfId="3287"/>
    <cellStyle name="제목 9 2" xfId="3288"/>
    <cellStyle name="좋음 10" xfId="3289"/>
    <cellStyle name="좋음 11" xfId="3290"/>
    <cellStyle name="좋음 12" xfId="3291"/>
    <cellStyle name="좋음 13" xfId="3292"/>
    <cellStyle name="좋음 14" xfId="3293"/>
    <cellStyle name="좋음 2" xfId="3294"/>
    <cellStyle name="좋음 2 10" xfId="3295"/>
    <cellStyle name="좋음 2 11" xfId="3296"/>
    <cellStyle name="좋음 2 12" xfId="3297"/>
    <cellStyle name="좋음 2 13" xfId="3298"/>
    <cellStyle name="좋음 2 14" xfId="3299"/>
    <cellStyle name="좋음 2 2" xfId="3300"/>
    <cellStyle name="좋음 2 3" xfId="3301"/>
    <cellStyle name="좋음 2 4" xfId="3302"/>
    <cellStyle name="좋음 2 5" xfId="3303"/>
    <cellStyle name="좋음 2 6" xfId="3304"/>
    <cellStyle name="좋음 2 7" xfId="3305"/>
    <cellStyle name="좋음 2 8" xfId="3306"/>
    <cellStyle name="좋음 2 9" xfId="3307"/>
    <cellStyle name="좋음 29" xfId="3308"/>
    <cellStyle name="좋음 29 2" xfId="3309"/>
    <cellStyle name="좋음 3" xfId="3310"/>
    <cellStyle name="좋음 3 10" xfId="3311"/>
    <cellStyle name="좋음 3 2" xfId="3312"/>
    <cellStyle name="좋음 3 2 2" xfId="3313"/>
    <cellStyle name="좋음 3 2 3" xfId="3314"/>
    <cellStyle name="좋음 3 2 4" xfId="3315"/>
    <cellStyle name="좋음 3 3" xfId="3316"/>
    <cellStyle name="좋음 3 4" xfId="3317"/>
    <cellStyle name="좋음 3 5" xfId="3318"/>
    <cellStyle name="좋음 3 6" xfId="3319"/>
    <cellStyle name="좋음 3 7" xfId="3320"/>
    <cellStyle name="좋음 3 8" xfId="3321"/>
    <cellStyle name="좋음 3 9" xfId="3322"/>
    <cellStyle name="좋음 30" xfId="3323"/>
    <cellStyle name="좋음 30 2" xfId="3324"/>
    <cellStyle name="좋음 31" xfId="3325"/>
    <cellStyle name="좋음 31 2" xfId="3326"/>
    <cellStyle name="좋음 32" xfId="3327"/>
    <cellStyle name="좋음 32 2" xfId="3328"/>
    <cellStyle name="좋음 33" xfId="3329"/>
    <cellStyle name="좋음 33 2" xfId="3330"/>
    <cellStyle name="좋음 34" xfId="3331"/>
    <cellStyle name="좋음 34 2" xfId="3332"/>
    <cellStyle name="좋음 35" xfId="3333"/>
    <cellStyle name="좋음 35 2" xfId="3334"/>
    <cellStyle name="좋음 36" xfId="3335"/>
    <cellStyle name="좋음 36 2" xfId="3336"/>
    <cellStyle name="좋음 37" xfId="3337"/>
    <cellStyle name="좋음 37 2" xfId="3338"/>
    <cellStyle name="좋음 4" xfId="3339"/>
    <cellStyle name="좋음 4 2" xfId="3340"/>
    <cellStyle name="좋음 4 3" xfId="3341"/>
    <cellStyle name="좋음 4 4" xfId="3342"/>
    <cellStyle name="좋음 5" xfId="3343"/>
    <cellStyle name="좋음 5 10" xfId="3344"/>
    <cellStyle name="좋음 5 11" xfId="3345"/>
    <cellStyle name="좋음 5 12" xfId="3346"/>
    <cellStyle name="좋음 5 13" xfId="3347"/>
    <cellStyle name="좋음 5 2" xfId="3348"/>
    <cellStyle name="좋음 5 3" xfId="3349"/>
    <cellStyle name="좋음 5 4" xfId="3350"/>
    <cellStyle name="좋음 5 5" xfId="3351"/>
    <cellStyle name="좋음 5 6" xfId="3352"/>
    <cellStyle name="좋음 5 7" xfId="3353"/>
    <cellStyle name="좋음 5 8" xfId="3354"/>
    <cellStyle name="좋음 5 9" xfId="3355"/>
    <cellStyle name="좋음 6" xfId="3356"/>
    <cellStyle name="좋음 6 2" xfId="3357"/>
    <cellStyle name="좋음 6 3" xfId="3358"/>
    <cellStyle name="좋음 6 4" xfId="3359"/>
    <cellStyle name="좋음 6 5" xfId="3360"/>
    <cellStyle name="좋음 7" xfId="3361"/>
    <cellStyle name="좋음 8" xfId="3362"/>
    <cellStyle name="좋음 9" xfId="3363"/>
    <cellStyle name="출력 10" xfId="3364"/>
    <cellStyle name="출력 10 2" xfId="3365"/>
    <cellStyle name="출력 11" xfId="3366"/>
    <cellStyle name="출력 11 2" xfId="3367"/>
    <cellStyle name="출력 12" xfId="3368"/>
    <cellStyle name="출력 12 2" xfId="3369"/>
    <cellStyle name="출력 13" xfId="3370"/>
    <cellStyle name="출력 13 2" xfId="3371"/>
    <cellStyle name="출력 14" xfId="3372"/>
    <cellStyle name="출력 15" xfId="3373"/>
    <cellStyle name="출력 2" xfId="3374"/>
    <cellStyle name="출력 2 10" xfId="3375"/>
    <cellStyle name="출력 2 11" xfId="3376"/>
    <cellStyle name="출력 2 12" xfId="3377"/>
    <cellStyle name="출력 2 13" xfId="3378"/>
    <cellStyle name="출력 2 14" xfId="3379"/>
    <cellStyle name="출력 2 2" xfId="3380"/>
    <cellStyle name="출력 2 3" xfId="3381"/>
    <cellStyle name="출력 2 4" xfId="3382"/>
    <cellStyle name="출력 2 5" xfId="3383"/>
    <cellStyle name="출력 2 6" xfId="3384"/>
    <cellStyle name="출력 2 7" xfId="3385"/>
    <cellStyle name="출력 2 8" xfId="3386"/>
    <cellStyle name="출력 2 9" xfId="3387"/>
    <cellStyle name="출력 3" xfId="3388"/>
    <cellStyle name="출력 3 10" xfId="3389"/>
    <cellStyle name="출력 3 2" xfId="3390"/>
    <cellStyle name="출력 3 2 2" xfId="3391"/>
    <cellStyle name="출력 3 2 3" xfId="3392"/>
    <cellStyle name="출력 3 2 4" xfId="3393"/>
    <cellStyle name="출력 3 3" xfId="3394"/>
    <cellStyle name="출력 3 4" xfId="3395"/>
    <cellStyle name="출력 3 5" xfId="3396"/>
    <cellStyle name="출력 3 6" xfId="3397"/>
    <cellStyle name="출력 3 7" xfId="3398"/>
    <cellStyle name="출력 3 8" xfId="3399"/>
    <cellStyle name="출력 3 9" xfId="3400"/>
    <cellStyle name="출력 4" xfId="3401"/>
    <cellStyle name="출력 4 2" xfId="3402"/>
    <cellStyle name="출력 4 3" xfId="3403"/>
    <cellStyle name="출력 4 4" xfId="3404"/>
    <cellStyle name="출력 5" xfId="3405"/>
    <cellStyle name="출력 5 10" xfId="3406"/>
    <cellStyle name="출력 5 11" xfId="3407"/>
    <cellStyle name="출력 5 12" xfId="3408"/>
    <cellStyle name="출력 5 13" xfId="3409"/>
    <cellStyle name="출력 5 14" xfId="3410"/>
    <cellStyle name="출력 5 2" xfId="3411"/>
    <cellStyle name="출력 5 3" xfId="3412"/>
    <cellStyle name="출력 5 4" xfId="3413"/>
    <cellStyle name="출력 5 5" xfId="3414"/>
    <cellStyle name="출력 5 6" xfId="3415"/>
    <cellStyle name="출력 5 7" xfId="3416"/>
    <cellStyle name="출력 5 8" xfId="3417"/>
    <cellStyle name="출력 5 9" xfId="3418"/>
    <cellStyle name="출력 6" xfId="3419"/>
    <cellStyle name="출력 6 2" xfId="3420"/>
    <cellStyle name="출력 6 3" xfId="3421"/>
    <cellStyle name="출력 6 4" xfId="3422"/>
    <cellStyle name="출력 6 5" xfId="3423"/>
    <cellStyle name="출력 7" xfId="3424"/>
    <cellStyle name="출력 7 2" xfId="3425"/>
    <cellStyle name="출력 8" xfId="3426"/>
    <cellStyle name="출력 8 2" xfId="3427"/>
    <cellStyle name="출력 9" xfId="3428"/>
    <cellStyle name="출력 9 2" xfId="3429"/>
    <cellStyle name="표준 10" xfId="3430"/>
    <cellStyle name="표준 10 10" xfId="3431"/>
    <cellStyle name="표준 10 11" xfId="3432"/>
    <cellStyle name="표준 10 12" xfId="3433"/>
    <cellStyle name="표준 10 13" xfId="3434"/>
    <cellStyle name="표준 10 14" xfId="3435"/>
    <cellStyle name="표준 10 15" xfId="3436"/>
    <cellStyle name="표준 10 16" xfId="3437"/>
    <cellStyle name="표준 10 17" xfId="3438"/>
    <cellStyle name="표준 10 2" xfId="3439"/>
    <cellStyle name="표준 10 3" xfId="3440"/>
    <cellStyle name="표준 10 4" xfId="3441"/>
    <cellStyle name="표준 10 5" xfId="3442"/>
    <cellStyle name="표준 10 6" xfId="3443"/>
    <cellStyle name="표준 10 7" xfId="3444"/>
    <cellStyle name="표준 10 8" xfId="3445"/>
    <cellStyle name="표준 10 9" xfId="3446"/>
    <cellStyle name="표준 100" xfId="23"/>
    <cellStyle name="표준 11" xfId="3447"/>
    <cellStyle name="표준 11 10" xfId="3448"/>
    <cellStyle name="표준 11 11" xfId="3449"/>
    <cellStyle name="표준 11 12" xfId="3450"/>
    <cellStyle name="표준 11 13" xfId="3451"/>
    <cellStyle name="표준 11 14" xfId="3452"/>
    <cellStyle name="표준 11 2" xfId="3453"/>
    <cellStyle name="표준 11 3" xfId="3454"/>
    <cellStyle name="표준 11 4" xfId="3455"/>
    <cellStyle name="표준 11 5" xfId="3456"/>
    <cellStyle name="표준 11 6" xfId="3457"/>
    <cellStyle name="표준 11 7" xfId="3458"/>
    <cellStyle name="표준 11 8" xfId="3459"/>
    <cellStyle name="표준 11 9" xfId="3460"/>
    <cellStyle name="표준 12" xfId="3461"/>
    <cellStyle name="표준 13" xfId="3462"/>
    <cellStyle name="표준 14" xfId="3463"/>
    <cellStyle name="표준 14 10" xfId="3464"/>
    <cellStyle name="표준 14 11" xfId="3465"/>
    <cellStyle name="표준 14 12" xfId="3466"/>
    <cellStyle name="표준 14 13" xfId="3467"/>
    <cellStyle name="표준 14 14" xfId="3468"/>
    <cellStyle name="표준 14 2" xfId="3469"/>
    <cellStyle name="표준 14 3" xfId="3470"/>
    <cellStyle name="표준 14 4" xfId="3471"/>
    <cellStyle name="표준 14 5" xfId="3472"/>
    <cellStyle name="표준 14 6" xfId="3473"/>
    <cellStyle name="표준 14 7" xfId="3474"/>
    <cellStyle name="표준 14 8" xfId="3475"/>
    <cellStyle name="표준 14 9" xfId="3476"/>
    <cellStyle name="표준 15" xfId="3477"/>
    <cellStyle name="표준 16" xfId="3478"/>
    <cellStyle name="표준 16 10" xfId="3479"/>
    <cellStyle name="표준 16 11" xfId="3480"/>
    <cellStyle name="표준 16 2" xfId="3481"/>
    <cellStyle name="표준 16 3" xfId="3482"/>
    <cellStyle name="표준 16 4" xfId="3483"/>
    <cellStyle name="표준 16 5" xfId="3484"/>
    <cellStyle name="표준 16 6" xfId="3485"/>
    <cellStyle name="표준 16 7" xfId="3486"/>
    <cellStyle name="표준 16 8" xfId="3487"/>
    <cellStyle name="표준 16 9" xfId="3488"/>
    <cellStyle name="표준 17" xfId="3489"/>
    <cellStyle name="표준 17 10" xfId="3490"/>
    <cellStyle name="표준 17 11" xfId="3491"/>
    <cellStyle name="표준 17 2" xfId="3492"/>
    <cellStyle name="표준 17 3" xfId="3493"/>
    <cellStyle name="표준 17 4" xfId="3494"/>
    <cellStyle name="표준 17 5" xfId="3495"/>
    <cellStyle name="표준 17 6" xfId="3496"/>
    <cellStyle name="표준 17 7" xfId="3497"/>
    <cellStyle name="표준 17 8" xfId="3498"/>
    <cellStyle name="표준 17 9" xfId="3499"/>
    <cellStyle name="표준 18" xfId="3500"/>
    <cellStyle name="표준 19" xfId="3501"/>
    <cellStyle name="표준 19 10" xfId="3502"/>
    <cellStyle name="표준 19 11" xfId="3503"/>
    <cellStyle name="표준 19 12" xfId="3504"/>
    <cellStyle name="표준 19 13" xfId="3505"/>
    <cellStyle name="표준 19 14" xfId="3506"/>
    <cellStyle name="표준 19 2" xfId="3507"/>
    <cellStyle name="표준 19 3" xfId="3508"/>
    <cellStyle name="표준 19 4" xfId="3509"/>
    <cellStyle name="표준 19 5" xfId="3510"/>
    <cellStyle name="표준 19 6" xfId="3511"/>
    <cellStyle name="표준 19 7" xfId="3512"/>
    <cellStyle name="표준 19 8" xfId="3513"/>
    <cellStyle name="표준 19 9" xfId="3514"/>
    <cellStyle name="표준 2" xfId="2"/>
    <cellStyle name="표준 2 10" xfId="24"/>
    <cellStyle name="표준 2 10 2" xfId="3517"/>
    <cellStyle name="표준 2 10 3" xfId="3518"/>
    <cellStyle name="표준 2 10 4" xfId="3519"/>
    <cellStyle name="표준 2 10 5" xfId="3516"/>
    <cellStyle name="표준 2 10 8" xfId="3520"/>
    <cellStyle name="표준 2 11" xfId="168"/>
    <cellStyle name="표준 2 11 2" xfId="3522"/>
    <cellStyle name="표준 2 11 3" xfId="3523"/>
    <cellStyle name="표준 2 11 4" xfId="3524"/>
    <cellStyle name="표준 2 11 5" xfId="3521"/>
    <cellStyle name="표준 2 12" xfId="3525"/>
    <cellStyle name="표준 2 13" xfId="3526"/>
    <cellStyle name="표준 2 14" xfId="3527"/>
    <cellStyle name="표준 2 14 2" xfId="3528"/>
    <cellStyle name="표준 2 14 3" xfId="3529"/>
    <cellStyle name="표준 2 14 4" xfId="3530"/>
    <cellStyle name="표준 2 15" xfId="3531"/>
    <cellStyle name="표준 2 15 2" xfId="3532"/>
    <cellStyle name="표준 2 15 3" xfId="3533"/>
    <cellStyle name="표준 2 15 4" xfId="3534"/>
    <cellStyle name="표준 2 16" xfId="3535"/>
    <cellStyle name="표준 2 17" xfId="3536"/>
    <cellStyle name="표준 2 18" xfId="3537"/>
    <cellStyle name="표준 2 19" xfId="3538"/>
    <cellStyle name="표준 2 2" xfId="3"/>
    <cellStyle name="표준 2 2 10" xfId="3540"/>
    <cellStyle name="표준 2 2 11" xfId="3541"/>
    <cellStyle name="표준 2 2 12" xfId="3539"/>
    <cellStyle name="표준 2 2 2" xfId="73"/>
    <cellStyle name="표준 2 2 2 2" xfId="74"/>
    <cellStyle name="표준 2 2 2 2 2" xfId="3544"/>
    <cellStyle name="표준 2 2 2 2 3" xfId="3545"/>
    <cellStyle name="표준 2 2 2 2 4" xfId="3543"/>
    <cellStyle name="표준 2 2 2 3" xfId="75"/>
    <cellStyle name="표준 2 2 2 3 2" xfId="76"/>
    <cellStyle name="표준 2 2 2 3 3" xfId="3546"/>
    <cellStyle name="표준 2 2 2 4" xfId="77"/>
    <cellStyle name="표준 2 2 2 5" xfId="3542"/>
    <cellStyle name="표준 2 2 3" xfId="78"/>
    <cellStyle name="표준 2 2 3 2" xfId="3547"/>
    <cellStyle name="표준 2 2 4" xfId="79"/>
    <cellStyle name="표준 2 2 4 2" xfId="80"/>
    <cellStyle name="표준 2 2 4 3" xfId="3548"/>
    <cellStyle name="표준 2 2 5" xfId="81"/>
    <cellStyle name="표준 2 2 5 2" xfId="82"/>
    <cellStyle name="표준 2 2 5 3" xfId="3549"/>
    <cellStyle name="표준 2 2 6" xfId="83"/>
    <cellStyle name="표준 2 2 6 2" xfId="3550"/>
    <cellStyle name="표준 2 2 7" xfId="3551"/>
    <cellStyle name="표준 2 2 8" xfId="3552"/>
    <cellStyle name="표준 2 2 9" xfId="3553"/>
    <cellStyle name="표준 2 20" xfId="3554"/>
    <cellStyle name="표준 2 21" xfId="3555"/>
    <cellStyle name="표준 2 22" xfId="3556"/>
    <cellStyle name="표준 2 23" xfId="3557"/>
    <cellStyle name="표준 2 24" xfId="3558"/>
    <cellStyle name="표준 2 25" xfId="3559"/>
    <cellStyle name="표준 2 26" xfId="3560"/>
    <cellStyle name="표준 2 27" xfId="3561"/>
    <cellStyle name="표준 2 28" xfId="3562"/>
    <cellStyle name="표준 2 29" xfId="3563"/>
    <cellStyle name="표준 2 3" xfId="22"/>
    <cellStyle name="표준 2 3 2" xfId="85"/>
    <cellStyle name="표준 2 3 2 2" xfId="86"/>
    <cellStyle name="표준 2 3 2 3" xfId="87"/>
    <cellStyle name="표준 2 3 2 3 2" xfId="88"/>
    <cellStyle name="표준 2 3 2 4" xfId="89"/>
    <cellStyle name="표준 2 3 3" xfId="90"/>
    <cellStyle name="표준 2 3 4" xfId="91"/>
    <cellStyle name="표준 2 3 4 2" xfId="92"/>
    <cellStyle name="표준 2 3 4 3" xfId="3565"/>
    <cellStyle name="표준 2 3 5" xfId="93"/>
    <cellStyle name="표준 2 3 5 2" xfId="94"/>
    <cellStyle name="표준 2 3 6" xfId="95"/>
    <cellStyle name="표준 2 3 7" xfId="84"/>
    <cellStyle name="표준 2 3 8" xfId="172"/>
    <cellStyle name="표준 2 3 9" xfId="3564"/>
    <cellStyle name="표준 2 30" xfId="3566"/>
    <cellStyle name="표준 2 31" xfId="3567"/>
    <cellStyle name="표준 2 32" xfId="3568"/>
    <cellStyle name="표준 2 33" xfId="3569"/>
    <cellStyle name="표준 2 34" xfId="3570"/>
    <cellStyle name="표준 2 35" xfId="3571"/>
    <cellStyle name="표준 2 36" xfId="3572"/>
    <cellStyle name="표준 2 37" xfId="3573"/>
    <cellStyle name="표준 2 38" xfId="3574"/>
    <cellStyle name="표준 2 39" xfId="3575"/>
    <cellStyle name="표준 2 4" xfId="96"/>
    <cellStyle name="표준 2 4 2" xfId="97"/>
    <cellStyle name="표준 2 4 2 2" xfId="98"/>
    <cellStyle name="표준 2 4 2 3" xfId="99"/>
    <cellStyle name="표준 2 4 2 3 2" xfId="100"/>
    <cellStyle name="표준 2 4 2 4" xfId="101"/>
    <cellStyle name="표준 2 4 3" xfId="102"/>
    <cellStyle name="표준 2 4 4" xfId="103"/>
    <cellStyle name="표준 2 4 4 2" xfId="104"/>
    <cellStyle name="표준 2 4 4 3" xfId="3577"/>
    <cellStyle name="표준 2 4 5" xfId="105"/>
    <cellStyle name="표준 2 4 5 2" xfId="106"/>
    <cellStyle name="표준 2 4 6" xfId="107"/>
    <cellStyle name="표준 2 4 7" xfId="3576"/>
    <cellStyle name="표준 2 40" xfId="3578"/>
    <cellStyle name="표준 2 41" xfId="3579"/>
    <cellStyle name="표준 2 42" xfId="3580"/>
    <cellStyle name="표준 2 43" xfId="3581"/>
    <cellStyle name="표준 2 44" xfId="3582"/>
    <cellStyle name="표준 2 45" xfId="3583"/>
    <cellStyle name="표준 2 46" xfId="3584"/>
    <cellStyle name="표준 2 47" xfId="3515"/>
    <cellStyle name="표준 2 5" xfId="108"/>
    <cellStyle name="표준 2 5 2" xfId="109"/>
    <cellStyle name="표준 2 5 3" xfId="110"/>
    <cellStyle name="표준 2 5 3 2" xfId="111"/>
    <cellStyle name="표준 2 5 3 3" xfId="3586"/>
    <cellStyle name="표준 2 5 4" xfId="112"/>
    <cellStyle name="표준 2 5 4 2" xfId="3587"/>
    <cellStyle name="표준 2 5 5" xfId="3585"/>
    <cellStyle name="표준 2 6" xfId="113"/>
    <cellStyle name="표준 2 6 2" xfId="3589"/>
    <cellStyle name="표준 2 6 3" xfId="3590"/>
    <cellStyle name="표준 2 6 4" xfId="3591"/>
    <cellStyle name="표준 2 6 5" xfId="3588"/>
    <cellStyle name="표준 2 7" xfId="114"/>
    <cellStyle name="표준 2 7 2" xfId="115"/>
    <cellStyle name="표준 2 7 2 2" xfId="3593"/>
    <cellStyle name="표준 2 7 3" xfId="3594"/>
    <cellStyle name="표준 2 7 4" xfId="3595"/>
    <cellStyle name="표준 2 7 5" xfId="3592"/>
    <cellStyle name="표준 2 8" xfId="116"/>
    <cellStyle name="표준 2 8 2" xfId="117"/>
    <cellStyle name="표준 2 8 2 2" xfId="3597"/>
    <cellStyle name="표준 2 8 3" xfId="3598"/>
    <cellStyle name="표준 2 8 4" xfId="3599"/>
    <cellStyle name="표준 2 8 5" xfId="3596"/>
    <cellStyle name="표준 2 9" xfId="118"/>
    <cellStyle name="표준 2 9 2" xfId="3601"/>
    <cellStyle name="표준 2 9 3" xfId="3602"/>
    <cellStyle name="표준 2 9 4" xfId="3603"/>
    <cellStyle name="표준 2 9 5" xfId="3600"/>
    <cellStyle name="표준 20" xfId="3604"/>
    <cellStyle name="표준 20 10" xfId="3605"/>
    <cellStyle name="표준 20 11" xfId="3606"/>
    <cellStyle name="표준 20 2" xfId="3607"/>
    <cellStyle name="표준 20 3" xfId="3608"/>
    <cellStyle name="표준 20 4" xfId="3609"/>
    <cellStyle name="표준 20 5" xfId="3610"/>
    <cellStyle name="표준 20 6" xfId="3611"/>
    <cellStyle name="표준 20 7" xfId="3612"/>
    <cellStyle name="표준 20 8" xfId="3613"/>
    <cellStyle name="표준 20 9" xfId="3614"/>
    <cellStyle name="표준 21" xfId="3615"/>
    <cellStyle name="표준 21 10" xfId="3616"/>
    <cellStyle name="표준 21 11" xfId="3617"/>
    <cellStyle name="표준 21 12" xfId="3618"/>
    <cellStyle name="표준 21 13" xfId="3619"/>
    <cellStyle name="표준 21 14" xfId="3620"/>
    <cellStyle name="표준 21 15" xfId="3621"/>
    <cellStyle name="표준 21 16" xfId="3622"/>
    <cellStyle name="표준 21 17" xfId="3623"/>
    <cellStyle name="표준 21 2" xfId="3624"/>
    <cellStyle name="표준 21 3" xfId="3625"/>
    <cellStyle name="표준 21 4" xfId="3626"/>
    <cellStyle name="표준 21 5" xfId="3627"/>
    <cellStyle name="표준 21 6" xfId="3628"/>
    <cellStyle name="표준 21 7" xfId="3629"/>
    <cellStyle name="표준 21 8" xfId="3630"/>
    <cellStyle name="표준 21 9" xfId="3631"/>
    <cellStyle name="표준 22" xfId="3632"/>
    <cellStyle name="표준 22 10" xfId="3633"/>
    <cellStyle name="표준 22 11" xfId="3634"/>
    <cellStyle name="표준 22 2" xfId="3635"/>
    <cellStyle name="표준 22 3" xfId="3636"/>
    <cellStyle name="표준 22 4" xfId="3637"/>
    <cellStyle name="표준 22 5" xfId="3638"/>
    <cellStyle name="표준 22 6" xfId="3639"/>
    <cellStyle name="표준 22 7" xfId="3640"/>
    <cellStyle name="표준 22 8" xfId="3641"/>
    <cellStyle name="표준 22 9" xfId="3642"/>
    <cellStyle name="표준 23" xfId="3643"/>
    <cellStyle name="표준 23 10" xfId="3644"/>
    <cellStyle name="표준 23 11" xfId="3645"/>
    <cellStyle name="표준 23 2" xfId="3646"/>
    <cellStyle name="표준 23 3" xfId="3647"/>
    <cellStyle name="표준 23 4" xfId="3648"/>
    <cellStyle name="표준 23 5" xfId="3649"/>
    <cellStyle name="표준 23 6" xfId="3650"/>
    <cellStyle name="표준 23 7" xfId="3651"/>
    <cellStyle name="표준 23 8" xfId="3652"/>
    <cellStyle name="표준 23 9" xfId="3653"/>
    <cellStyle name="표준 24" xfId="3654"/>
    <cellStyle name="표준 24 10" xfId="3655"/>
    <cellStyle name="표준 24 11" xfId="3656"/>
    <cellStyle name="표준 24 2" xfId="3657"/>
    <cellStyle name="표준 24 3" xfId="3658"/>
    <cellStyle name="표준 24 4" xfId="3659"/>
    <cellStyle name="표준 24 5" xfId="3660"/>
    <cellStyle name="표준 24 6" xfId="3661"/>
    <cellStyle name="표준 24 7" xfId="3662"/>
    <cellStyle name="표준 24 8" xfId="3663"/>
    <cellStyle name="표준 24 9" xfId="3664"/>
    <cellStyle name="표준 25" xfId="3665"/>
    <cellStyle name="표준 25 10" xfId="3666"/>
    <cellStyle name="표준 25 11" xfId="3667"/>
    <cellStyle name="표준 25 2" xfId="3668"/>
    <cellStyle name="표준 25 3" xfId="3669"/>
    <cellStyle name="표준 25 4" xfId="3670"/>
    <cellStyle name="표준 25 5" xfId="3671"/>
    <cellStyle name="표준 25 6" xfId="3672"/>
    <cellStyle name="표준 25 7" xfId="3673"/>
    <cellStyle name="표준 25 8" xfId="3674"/>
    <cellStyle name="표준 25 9" xfId="3675"/>
    <cellStyle name="표준 26" xfId="3676"/>
    <cellStyle name="표준 26 10" xfId="3677"/>
    <cellStyle name="표준 26 11" xfId="3678"/>
    <cellStyle name="표준 26 2" xfId="3679"/>
    <cellStyle name="표준 26 3" xfId="3680"/>
    <cellStyle name="표준 26 4" xfId="3681"/>
    <cellStyle name="표준 26 5" xfId="3682"/>
    <cellStyle name="표준 26 6" xfId="3683"/>
    <cellStyle name="표준 26 7" xfId="3684"/>
    <cellStyle name="표준 26 8" xfId="3685"/>
    <cellStyle name="표준 26 9" xfId="3686"/>
    <cellStyle name="표준 27" xfId="3687"/>
    <cellStyle name="표준 27 10" xfId="3688"/>
    <cellStyle name="표준 27 11" xfId="3689"/>
    <cellStyle name="표준 27 2" xfId="3690"/>
    <cellStyle name="표준 27 3" xfId="3691"/>
    <cellStyle name="표준 27 4" xfId="3692"/>
    <cellStyle name="표준 27 5" xfId="3693"/>
    <cellStyle name="표준 27 6" xfId="3694"/>
    <cellStyle name="표준 27 7" xfId="3695"/>
    <cellStyle name="표준 27 8" xfId="3696"/>
    <cellStyle name="표준 27 9" xfId="3697"/>
    <cellStyle name="표준 28" xfId="3698"/>
    <cellStyle name="표준 28 2" xfId="3699"/>
    <cellStyle name="표준 28 3" xfId="3700"/>
    <cellStyle name="표준 28 4" xfId="3701"/>
    <cellStyle name="표준 28 5" xfId="3702"/>
    <cellStyle name="표준 28 6" xfId="3703"/>
    <cellStyle name="표준 28 7" xfId="3704"/>
    <cellStyle name="표준 29" xfId="3705"/>
    <cellStyle name="표준 3" xfId="4"/>
    <cellStyle name="표준 3 10" xfId="119"/>
    <cellStyle name="표준 3 10 2" xfId="3708"/>
    <cellStyle name="표준 3 10 3" xfId="3709"/>
    <cellStyle name="표준 3 10 4" xfId="3710"/>
    <cellStyle name="표준 3 10 5" xfId="3711"/>
    <cellStyle name="표준 3 10 6" xfId="3712"/>
    <cellStyle name="표준 3 10 7" xfId="3713"/>
    <cellStyle name="표준 3 10 8" xfId="3707"/>
    <cellStyle name="표준 3 11" xfId="3714"/>
    <cellStyle name="표준 3 11 2" xfId="3715"/>
    <cellStyle name="표준 3 11 3" xfId="3716"/>
    <cellStyle name="표준 3 11 4" xfId="3717"/>
    <cellStyle name="표준 3 11 5" xfId="3718"/>
    <cellStyle name="표준 3 11 6" xfId="3719"/>
    <cellStyle name="표준 3 11 7" xfId="3720"/>
    <cellStyle name="표준 3 12" xfId="3721"/>
    <cellStyle name="표준 3 12 2" xfId="3722"/>
    <cellStyle name="표준 3 12 3" xfId="3723"/>
    <cellStyle name="표준 3 12 4" xfId="3724"/>
    <cellStyle name="표준 3 13" xfId="3725"/>
    <cellStyle name="표준 3 13 2" xfId="3726"/>
    <cellStyle name="표준 3 13 3" xfId="3727"/>
    <cellStyle name="표준 3 13 4" xfId="3728"/>
    <cellStyle name="표준 3 14" xfId="3729"/>
    <cellStyle name="표준 3 14 2" xfId="3730"/>
    <cellStyle name="표준 3 14 3" xfId="3731"/>
    <cellStyle name="표준 3 14 4" xfId="3732"/>
    <cellStyle name="표준 3 15" xfId="3733"/>
    <cellStyle name="표준 3 15 2" xfId="3734"/>
    <cellStyle name="표준 3 15 3" xfId="3735"/>
    <cellStyle name="표준 3 15 4" xfId="3736"/>
    <cellStyle name="표준 3 16" xfId="3737"/>
    <cellStyle name="표준 3 16 2" xfId="3738"/>
    <cellStyle name="표준 3 16 3" xfId="3739"/>
    <cellStyle name="표준 3 16 4" xfId="3740"/>
    <cellStyle name="표준 3 17" xfId="3741"/>
    <cellStyle name="표준 3 17 2" xfId="3742"/>
    <cellStyle name="표준 3 17 3" xfId="3743"/>
    <cellStyle name="표준 3 17 4" xfId="3744"/>
    <cellStyle name="표준 3 18" xfId="3745"/>
    <cellStyle name="표준 3 18 2" xfId="3746"/>
    <cellStyle name="표준 3 18 3" xfId="3747"/>
    <cellStyle name="표준 3 18 4" xfId="3748"/>
    <cellStyle name="표준 3 19" xfId="3749"/>
    <cellStyle name="표준 3 19 2" xfId="3750"/>
    <cellStyle name="표준 3 19 3" xfId="3751"/>
    <cellStyle name="표준 3 19 4" xfId="3752"/>
    <cellStyle name="표준 3 2" xfId="120"/>
    <cellStyle name="표준 3 2 10" xfId="3753"/>
    <cellStyle name="표준 3 2 11" xfId="3754"/>
    <cellStyle name="표준 3 2 12" xfId="3755"/>
    <cellStyle name="표준 3 2 13" xfId="3756"/>
    <cellStyle name="표준 3 2 14" xfId="3757"/>
    <cellStyle name="표준 3 2 15" xfId="3758"/>
    <cellStyle name="표준 3 2 16" xfId="3759"/>
    <cellStyle name="표준 3 2 17" xfId="3760"/>
    <cellStyle name="표준 3 2 18" xfId="3761"/>
    <cellStyle name="표준 3 2 19" xfId="3762"/>
    <cellStyle name="표준 3 2 2" xfId="121"/>
    <cellStyle name="표준 3 2 2 10" xfId="3764"/>
    <cellStyle name="표준 3 2 2 11" xfId="3765"/>
    <cellStyle name="표준 3 2 2 12" xfId="3766"/>
    <cellStyle name="표준 3 2 2 13" xfId="3767"/>
    <cellStyle name="표준 3 2 2 14" xfId="3768"/>
    <cellStyle name="표준 3 2 2 15" xfId="3769"/>
    <cellStyle name="표준 3 2 2 16" xfId="3763"/>
    <cellStyle name="표준 3 2 2 2" xfId="122"/>
    <cellStyle name="표준 3 2 2 2 2" xfId="3770"/>
    <cellStyle name="표준 3 2 2 2 3" xfId="3771"/>
    <cellStyle name="표준 3 2 2 2 4" xfId="3772"/>
    <cellStyle name="표준 3 2 2 3" xfId="123"/>
    <cellStyle name="표준 3 2 2 3 2" xfId="124"/>
    <cellStyle name="표준 3 2 2 3 3" xfId="3773"/>
    <cellStyle name="표준 3 2 2 4" xfId="125"/>
    <cellStyle name="표준 3 2 2 4 2" xfId="3774"/>
    <cellStyle name="표준 3 2 2 5" xfId="3775"/>
    <cellStyle name="표준 3 2 2 6" xfId="3776"/>
    <cellStyle name="표준 3 2 2 7" xfId="3777"/>
    <cellStyle name="표준 3 2 2 8" xfId="3778"/>
    <cellStyle name="표준 3 2 2 9" xfId="3779"/>
    <cellStyle name="표준 3 2 20" xfId="3780"/>
    <cellStyle name="표준 3 2 21" xfId="3781"/>
    <cellStyle name="표준 3 2 22" xfId="3782"/>
    <cellStyle name="표준 3 2 23" xfId="3783"/>
    <cellStyle name="표준 3 2 24" xfId="3784"/>
    <cellStyle name="표준 3 2 25" xfId="3785"/>
    <cellStyle name="표준 3 2 26" xfId="3786"/>
    <cellStyle name="표준 3 2 27" xfId="3787"/>
    <cellStyle name="표준 3 2 28" xfId="3788"/>
    <cellStyle name="표준 3 2 29" xfId="3789"/>
    <cellStyle name="표준 3 2 3" xfId="126"/>
    <cellStyle name="표준 3 2 3 2" xfId="3790"/>
    <cellStyle name="표준 3 2 30" xfId="3791"/>
    <cellStyle name="표준 3 2 31" xfId="3792"/>
    <cellStyle name="표준 3 2 32" xfId="3793"/>
    <cellStyle name="표준 3 2 33" xfId="3794"/>
    <cellStyle name="표준 3 2 34" xfId="3795"/>
    <cellStyle name="표준 3 2 35" xfId="3796"/>
    <cellStyle name="표준 3 2 36" xfId="3797"/>
    <cellStyle name="표준 3 2 37" xfId="3798"/>
    <cellStyle name="표준 3 2 38" xfId="3799"/>
    <cellStyle name="표준 3 2 39" xfId="3800"/>
    <cellStyle name="표준 3 2 4" xfId="127"/>
    <cellStyle name="표준 3 2 4 2" xfId="128"/>
    <cellStyle name="표준 3 2 4 3" xfId="3801"/>
    <cellStyle name="표준 3 2 40" xfId="3802"/>
    <cellStyle name="표준 3 2 41" xfId="3803"/>
    <cellStyle name="표준 3 2 42" xfId="3804"/>
    <cellStyle name="표준 3 2 43" xfId="3805"/>
    <cellStyle name="표준 3 2 44" xfId="3806"/>
    <cellStyle name="표준 3 2 45" xfId="3807"/>
    <cellStyle name="표준 3 2 46" xfId="3808"/>
    <cellStyle name="표준 3 2 47" xfId="3809"/>
    <cellStyle name="표준 3 2 48" xfId="3810"/>
    <cellStyle name="표준 3 2 49" xfId="3811"/>
    <cellStyle name="표준 3 2 5" xfId="129"/>
    <cellStyle name="표준 3 2 5 2" xfId="130"/>
    <cellStyle name="표준 3 2 5 3" xfId="3812"/>
    <cellStyle name="표준 3 2 6" xfId="131"/>
    <cellStyle name="표준 3 2 6 2" xfId="3813"/>
    <cellStyle name="표준 3 2 7" xfId="3814"/>
    <cellStyle name="표준 3 2 8" xfId="3815"/>
    <cellStyle name="표준 3 2 9" xfId="3816"/>
    <cellStyle name="표준 3 20" xfId="3817"/>
    <cellStyle name="표준 3 20 2" xfId="3818"/>
    <cellStyle name="표준 3 20 3" xfId="3819"/>
    <cellStyle name="표준 3 20 4" xfId="3820"/>
    <cellStyle name="표준 3 21" xfId="3821"/>
    <cellStyle name="표준 3 21 2" xfId="3822"/>
    <cellStyle name="표준 3 21 3" xfId="3823"/>
    <cellStyle name="표준 3 21 4" xfId="3824"/>
    <cellStyle name="표준 3 22" xfId="3825"/>
    <cellStyle name="표준 3 22 2" xfId="3826"/>
    <cellStyle name="표준 3 22 3" xfId="3827"/>
    <cellStyle name="표준 3 22 4" xfId="3828"/>
    <cellStyle name="표준 3 23" xfId="3829"/>
    <cellStyle name="표준 3 23 2" xfId="3830"/>
    <cellStyle name="표준 3 23 3" xfId="3831"/>
    <cellStyle name="표준 3 23 4" xfId="3832"/>
    <cellStyle name="표준 3 24" xfId="3833"/>
    <cellStyle name="표준 3 24 2" xfId="3834"/>
    <cellStyle name="표준 3 24 3" xfId="3835"/>
    <cellStyle name="표준 3 24 4" xfId="3836"/>
    <cellStyle name="표준 3 25" xfId="3837"/>
    <cellStyle name="표준 3 25 2" xfId="3838"/>
    <cellStyle name="표준 3 25 3" xfId="3839"/>
    <cellStyle name="표준 3 25 4" xfId="3840"/>
    <cellStyle name="표준 3 26" xfId="3841"/>
    <cellStyle name="표준 3 26 2" xfId="3842"/>
    <cellStyle name="표준 3 26 3" xfId="3843"/>
    <cellStyle name="표준 3 26 4" xfId="3844"/>
    <cellStyle name="표준 3 27" xfId="3845"/>
    <cellStyle name="표준 3 27 2" xfId="3846"/>
    <cellStyle name="표준 3 27 3" xfId="3847"/>
    <cellStyle name="표준 3 27 4" xfId="3848"/>
    <cellStyle name="표준 3 28" xfId="3849"/>
    <cellStyle name="표준 3 28 2" xfId="3850"/>
    <cellStyle name="표준 3 28 3" xfId="3851"/>
    <cellStyle name="표준 3 28 4" xfId="3852"/>
    <cellStyle name="표준 3 29" xfId="3853"/>
    <cellStyle name="표준 3 29 2" xfId="3854"/>
    <cellStyle name="표준 3 29 3" xfId="3855"/>
    <cellStyle name="표준 3 29 4" xfId="3856"/>
    <cellStyle name="표준 3 3" xfId="132"/>
    <cellStyle name="표준 3 3 2" xfId="133"/>
    <cellStyle name="표준 3 3 2 2" xfId="134"/>
    <cellStyle name="표준 3 3 2 3" xfId="135"/>
    <cellStyle name="표준 3 3 2 3 2" xfId="136"/>
    <cellStyle name="표준 3 3 2 4" xfId="137"/>
    <cellStyle name="표준 3 3 2 5" xfId="3857"/>
    <cellStyle name="표준 3 3 3" xfId="138"/>
    <cellStyle name="표준 3 3 3 2" xfId="3858"/>
    <cellStyle name="표준 3 3 4" xfId="139"/>
    <cellStyle name="표준 3 3 4 2" xfId="140"/>
    <cellStyle name="표준 3 3 4 3" xfId="3859"/>
    <cellStyle name="표준 3 3 5" xfId="141"/>
    <cellStyle name="표준 3 3 5 2" xfId="142"/>
    <cellStyle name="표준 3 3 5 3" xfId="3860"/>
    <cellStyle name="표준 3 3 6" xfId="143"/>
    <cellStyle name="표준 3 3 6 2" xfId="3861"/>
    <cellStyle name="표준 3 3 7" xfId="3862"/>
    <cellStyle name="표준 3 30" xfId="3863"/>
    <cellStyle name="표준 3 30 2" xfId="3864"/>
    <cellStyle name="표준 3 30 3" xfId="3865"/>
    <cellStyle name="표준 3 30 4" xfId="3866"/>
    <cellStyle name="표준 3 31" xfId="3867"/>
    <cellStyle name="표준 3 31 2" xfId="3868"/>
    <cellStyle name="표준 3 31 3" xfId="3869"/>
    <cellStyle name="표준 3 31 4" xfId="3870"/>
    <cellStyle name="표준 3 32" xfId="3871"/>
    <cellStyle name="표준 3 32 2" xfId="3872"/>
    <cellStyle name="표준 3 32 3" xfId="3873"/>
    <cellStyle name="표준 3 32 4" xfId="3874"/>
    <cellStyle name="표준 3 33" xfId="3875"/>
    <cellStyle name="표준 3 33 2" xfId="3876"/>
    <cellStyle name="표준 3 33 3" xfId="3877"/>
    <cellStyle name="표준 3 33 4" xfId="3878"/>
    <cellStyle name="표준 3 34" xfId="3879"/>
    <cellStyle name="표준 3 34 2" xfId="3880"/>
    <cellStyle name="표준 3 34 3" xfId="3881"/>
    <cellStyle name="표준 3 34 4" xfId="3882"/>
    <cellStyle name="표준 3 35" xfId="3883"/>
    <cellStyle name="표준 3 35 2" xfId="3884"/>
    <cellStyle name="표준 3 35 3" xfId="3885"/>
    <cellStyle name="표준 3 35 4" xfId="3886"/>
    <cellStyle name="표준 3 36" xfId="3887"/>
    <cellStyle name="표준 3 36 2" xfId="3888"/>
    <cellStyle name="표준 3 36 3" xfId="3889"/>
    <cellStyle name="표준 3 36 4" xfId="3890"/>
    <cellStyle name="표준 3 37" xfId="3891"/>
    <cellStyle name="표준 3 37 2" xfId="3892"/>
    <cellStyle name="표준 3 37 3" xfId="3893"/>
    <cellStyle name="표준 3 37 4" xfId="3894"/>
    <cellStyle name="표준 3 38" xfId="3895"/>
    <cellStyle name="표준 3 38 2" xfId="3896"/>
    <cellStyle name="표준 3 38 3" xfId="3897"/>
    <cellStyle name="표준 3 38 4" xfId="3898"/>
    <cellStyle name="표준 3 39" xfId="3899"/>
    <cellStyle name="표준 3 39 2" xfId="3900"/>
    <cellStyle name="표준 3 39 3" xfId="3901"/>
    <cellStyle name="표준 3 39 4" xfId="3902"/>
    <cellStyle name="표준 3 4" xfId="144"/>
    <cellStyle name="표준 3 4 2" xfId="145"/>
    <cellStyle name="표준 3 4 2 2" xfId="146"/>
    <cellStyle name="표준 3 4 2 3" xfId="147"/>
    <cellStyle name="표준 3 4 2 3 2" xfId="148"/>
    <cellStyle name="표준 3 4 2 4" xfId="149"/>
    <cellStyle name="표준 3 4 2 5" xfId="3903"/>
    <cellStyle name="표준 3 4 3" xfId="150"/>
    <cellStyle name="표준 3 4 3 2" xfId="3904"/>
    <cellStyle name="표준 3 4 4" xfId="151"/>
    <cellStyle name="표준 3 4 4 2" xfId="152"/>
    <cellStyle name="표준 3 4 4 3" xfId="3905"/>
    <cellStyle name="표준 3 4 5" xfId="153"/>
    <cellStyle name="표준 3 4 5 2" xfId="154"/>
    <cellStyle name="표준 3 4 5 3" xfId="3906"/>
    <cellStyle name="표준 3 4 6" xfId="155"/>
    <cellStyle name="표준 3 4 6 2" xfId="3907"/>
    <cellStyle name="표준 3 4 7" xfId="3908"/>
    <cellStyle name="표준 3 40" xfId="3909"/>
    <cellStyle name="표준 3 40 2" xfId="3910"/>
    <cellStyle name="표준 3 40 3" xfId="3911"/>
    <cellStyle name="표준 3 40 4" xfId="3912"/>
    <cellStyle name="표준 3 41" xfId="3913"/>
    <cellStyle name="표준 3 41 2" xfId="3914"/>
    <cellStyle name="표준 3 41 3" xfId="3915"/>
    <cellStyle name="표준 3 41 4" xfId="3916"/>
    <cellStyle name="표준 3 42" xfId="3917"/>
    <cellStyle name="표준 3 42 2" xfId="3918"/>
    <cellStyle name="표준 3 42 3" xfId="3919"/>
    <cellStyle name="표준 3 42 4" xfId="3920"/>
    <cellStyle name="표준 3 43" xfId="3921"/>
    <cellStyle name="표준 3 44" xfId="3922"/>
    <cellStyle name="표준 3 45" xfId="3923"/>
    <cellStyle name="표준 3 46" xfId="3924"/>
    <cellStyle name="표준 3 47" xfId="3925"/>
    <cellStyle name="표준 3 48" xfId="3926"/>
    <cellStyle name="표준 3 49" xfId="3927"/>
    <cellStyle name="표준 3 5" xfId="156"/>
    <cellStyle name="표준 3 5 2" xfId="157"/>
    <cellStyle name="표준 3 5 2 2" xfId="3928"/>
    <cellStyle name="표준 3 5 3" xfId="158"/>
    <cellStyle name="표준 3 5 3 2" xfId="159"/>
    <cellStyle name="표준 3 5 3 3" xfId="3929"/>
    <cellStyle name="표준 3 5 4" xfId="160"/>
    <cellStyle name="표준 3 5 4 2" xfId="3930"/>
    <cellStyle name="표준 3 5 5" xfId="3931"/>
    <cellStyle name="표준 3 5 6" xfId="3932"/>
    <cellStyle name="표준 3 5 7" xfId="3933"/>
    <cellStyle name="표준 3 50" xfId="3934"/>
    <cellStyle name="표준 3 51" xfId="3935"/>
    <cellStyle name="표준 3 52" xfId="3936"/>
    <cellStyle name="표준 3 53" xfId="3937"/>
    <cellStyle name="표준 3 54" xfId="3938"/>
    <cellStyle name="표준 3 55" xfId="3939"/>
    <cellStyle name="표준 3 56" xfId="3940"/>
    <cellStyle name="표준 3 57" xfId="3941"/>
    <cellStyle name="표준 3 58" xfId="3942"/>
    <cellStyle name="표준 3 59" xfId="3943"/>
    <cellStyle name="표준 3 6" xfId="161"/>
    <cellStyle name="표준 3 6 2" xfId="3944"/>
    <cellStyle name="표준 3 6 3" xfId="3945"/>
    <cellStyle name="표준 3 6 4" xfId="3946"/>
    <cellStyle name="표준 3 6 5" xfId="3947"/>
    <cellStyle name="표준 3 6 6" xfId="3948"/>
    <cellStyle name="표준 3 6 7" xfId="3949"/>
    <cellStyle name="표준 3 60" xfId="3950"/>
    <cellStyle name="표준 3 61" xfId="3951"/>
    <cellStyle name="표준 3 62" xfId="3952"/>
    <cellStyle name="표준 3 63" xfId="3953"/>
    <cellStyle name="표준 3 64" xfId="3706"/>
    <cellStyle name="표준 3 7" xfId="162"/>
    <cellStyle name="표준 3 7 2" xfId="163"/>
    <cellStyle name="표준 3 7 2 2" xfId="3955"/>
    <cellStyle name="표준 3 7 3" xfId="3956"/>
    <cellStyle name="표준 3 7 4" xfId="3957"/>
    <cellStyle name="표준 3 7 5" xfId="3958"/>
    <cellStyle name="표준 3 7 6" xfId="3959"/>
    <cellStyle name="표준 3 7 7" xfId="3960"/>
    <cellStyle name="표준 3 7 8" xfId="3954"/>
    <cellStyle name="표준 3 8" xfId="164"/>
    <cellStyle name="표준 3 8 2" xfId="165"/>
    <cellStyle name="표준 3 8 2 2" xfId="3962"/>
    <cellStyle name="표준 3 8 3" xfId="3963"/>
    <cellStyle name="표준 3 8 4" xfId="3964"/>
    <cellStyle name="표준 3 8 5" xfId="3965"/>
    <cellStyle name="표준 3 8 6" xfId="3966"/>
    <cellStyle name="표준 3 8 7" xfId="3967"/>
    <cellStyle name="표준 3 8 8" xfId="3961"/>
    <cellStyle name="표준 3 9" xfId="166"/>
    <cellStyle name="표준 3 9 2" xfId="3969"/>
    <cellStyle name="표준 3 9 3" xfId="3970"/>
    <cellStyle name="표준 3 9 4" xfId="3971"/>
    <cellStyle name="표준 3 9 5" xfId="3972"/>
    <cellStyle name="표준 3 9 6" xfId="3973"/>
    <cellStyle name="표준 3 9 7" xfId="3974"/>
    <cellStyle name="표준 3 9 8" xfId="3968"/>
    <cellStyle name="표준 30" xfId="3975"/>
    <cellStyle name="표준 31" xfId="3976"/>
    <cellStyle name="표준 32" xfId="3977"/>
    <cellStyle name="표준 33" xfId="3978"/>
    <cellStyle name="표준 34" xfId="3979"/>
    <cellStyle name="표준 35" xfId="3980"/>
    <cellStyle name="표준 35 2" xfId="3981"/>
    <cellStyle name="표준 35 3" xfId="3982"/>
    <cellStyle name="표준 35 4" xfId="3983"/>
    <cellStyle name="표준 35 5" xfId="3984"/>
    <cellStyle name="표준 35 6" xfId="3985"/>
    <cellStyle name="표준 35 7" xfId="3986"/>
    <cellStyle name="표준 36" xfId="3987"/>
    <cellStyle name="표준 37" xfId="3988"/>
    <cellStyle name="표준 38" xfId="3989"/>
    <cellStyle name="표준 38 2" xfId="3990"/>
    <cellStyle name="표준 38 3" xfId="3991"/>
    <cellStyle name="표준 38 3 2" xfId="3992"/>
    <cellStyle name="표준 38 3 3" xfId="3993"/>
    <cellStyle name="표준 38 3 4" xfId="3994"/>
    <cellStyle name="표준 38 3 5" xfId="3995"/>
    <cellStyle name="표준 38 4" xfId="3996"/>
    <cellStyle name="표준 38 5" xfId="3997"/>
    <cellStyle name="표준 38 6" xfId="3998"/>
    <cellStyle name="표준 38 7" xfId="3999"/>
    <cellStyle name="표준 38 8" xfId="4000"/>
    <cellStyle name="표준 39" xfId="4001"/>
    <cellStyle name="표준 4" xfId="5"/>
    <cellStyle name="표준 4 10" xfId="4003"/>
    <cellStyle name="표준 4 11" xfId="4004"/>
    <cellStyle name="표준 4 12" xfId="4005"/>
    <cellStyle name="표준 4 12 2" xfId="4006"/>
    <cellStyle name="표준 4 12 3" xfId="4007"/>
    <cellStyle name="표준 4 12 4" xfId="4008"/>
    <cellStyle name="표준 4 12 5" xfId="4009"/>
    <cellStyle name="표준 4 12 6" xfId="4010"/>
    <cellStyle name="표준 4 12 7" xfId="4011"/>
    <cellStyle name="표준 4 13" xfId="4012"/>
    <cellStyle name="표준 4 14" xfId="4013"/>
    <cellStyle name="표준 4 15" xfId="4014"/>
    <cellStyle name="표준 4 16" xfId="4015"/>
    <cellStyle name="표준 4 17" xfId="4016"/>
    <cellStyle name="표준 4 18" xfId="4017"/>
    <cellStyle name="표준 4 19" xfId="4018"/>
    <cellStyle name="표준 4 2" xfId="167"/>
    <cellStyle name="표준 4 2 2" xfId="4020"/>
    <cellStyle name="표준 4 2 2 2" xfId="4021"/>
    <cellStyle name="표준 4 2 2 3" xfId="4022"/>
    <cellStyle name="표준 4 2 2 4" xfId="4023"/>
    <cellStyle name="표준 4 2 3" xfId="4024"/>
    <cellStyle name="표준 4 2 4" xfId="4025"/>
    <cellStyle name="표준 4 2 5" xfId="4019"/>
    <cellStyle name="표준 4 20" xfId="4026"/>
    <cellStyle name="표준 4 21" xfId="4027"/>
    <cellStyle name="표준 4 22" xfId="4028"/>
    <cellStyle name="표준 4 23" xfId="4029"/>
    <cellStyle name="표준 4 24" xfId="4030"/>
    <cellStyle name="표준 4 25" xfId="4031"/>
    <cellStyle name="표준 4 26" xfId="4032"/>
    <cellStyle name="표준 4 27" xfId="4033"/>
    <cellStyle name="표준 4 28" xfId="4034"/>
    <cellStyle name="표준 4 29" xfId="4035"/>
    <cellStyle name="표준 4 3" xfId="169"/>
    <cellStyle name="표준 4 3 2" xfId="4037"/>
    <cellStyle name="표준 4 3 2 2" xfId="4038"/>
    <cellStyle name="표준 4 3 2 3" xfId="4039"/>
    <cellStyle name="표준 4 3 2 4" xfId="4040"/>
    <cellStyle name="표준 4 3 3" xfId="4041"/>
    <cellStyle name="표준 4 3 4" xfId="4042"/>
    <cellStyle name="표준 4 3 5" xfId="4036"/>
    <cellStyle name="표준 4 30" xfId="4043"/>
    <cellStyle name="표준 4 31" xfId="4044"/>
    <cellStyle name="표준 4 32" xfId="4045"/>
    <cellStyle name="표준 4 33" xfId="4046"/>
    <cellStyle name="표준 4 34" xfId="4047"/>
    <cellStyle name="표준 4 35" xfId="4048"/>
    <cellStyle name="표준 4 36" xfId="4049"/>
    <cellStyle name="표준 4 37" xfId="4050"/>
    <cellStyle name="표준 4 38" xfId="4051"/>
    <cellStyle name="표준 4 39" xfId="4052"/>
    <cellStyle name="표준 4 4" xfId="4053"/>
    <cellStyle name="표준 4 40" xfId="4054"/>
    <cellStyle name="표준 4 41" xfId="4055"/>
    <cellStyle name="표준 4 42" xfId="4056"/>
    <cellStyle name="표준 4 43" xfId="4057"/>
    <cellStyle name="표준 4 44" xfId="4058"/>
    <cellStyle name="표준 4 45" xfId="4059"/>
    <cellStyle name="표준 4 46" xfId="4060"/>
    <cellStyle name="표준 4 47" xfId="4002"/>
    <cellStyle name="표준 4 5" xfId="4061"/>
    <cellStyle name="표준 4 6" xfId="4062"/>
    <cellStyle name="표준 4 7" xfId="4063"/>
    <cellStyle name="표준 4 8" xfId="4064"/>
    <cellStyle name="표준 4 9" xfId="4065"/>
    <cellStyle name="표준 40" xfId="4066"/>
    <cellStyle name="표준 41" xfId="4067"/>
    <cellStyle name="표준 42" xfId="4068"/>
    <cellStyle name="표준 43" xfId="4069"/>
    <cellStyle name="표준 44" xfId="4070"/>
    <cellStyle name="표준 45" xfId="4071"/>
    <cellStyle name="표준 46" xfId="4072"/>
    <cellStyle name="표준 47" xfId="4073"/>
    <cellStyle name="표준 48" xfId="4074"/>
    <cellStyle name="표준 49" xfId="4075"/>
    <cellStyle name="표준 5" xfId="6"/>
    <cellStyle name="표준 5 2" xfId="4077"/>
    <cellStyle name="표준 5 2 2" xfId="4078"/>
    <cellStyle name="표준 5 2 3" xfId="4079"/>
    <cellStyle name="표준 5 2 4" xfId="4080"/>
    <cellStyle name="표준 5 3" xfId="4081"/>
    <cellStyle name="표준 5 4" xfId="4082"/>
    <cellStyle name="표준 5 5" xfId="4083"/>
    <cellStyle name="표준 5 6" xfId="4076"/>
    <cellStyle name="표준 50" xfId="4084"/>
    <cellStyle name="표준 51" xfId="4085"/>
    <cellStyle name="표준 52" xfId="267"/>
    <cellStyle name="표준 52 2" xfId="4086"/>
    <cellStyle name="표준 54" xfId="4087"/>
    <cellStyle name="표준 55" xfId="4088"/>
    <cellStyle name="표준 56" xfId="4089"/>
    <cellStyle name="표준 57" xfId="4090"/>
    <cellStyle name="표준 58" xfId="4091"/>
    <cellStyle name="표준 59" xfId="4092"/>
    <cellStyle name="표준 6" xfId="19"/>
    <cellStyle name="표준 6 10" xfId="4094"/>
    <cellStyle name="표준 6 11" xfId="4095"/>
    <cellStyle name="표준 6 12" xfId="4093"/>
    <cellStyle name="표준 6 2" xfId="4096"/>
    <cellStyle name="표준 6 2 2" xfId="4097"/>
    <cellStyle name="표준 6 2 3" xfId="4098"/>
    <cellStyle name="표준 6 2 4" xfId="4099"/>
    <cellStyle name="표준 6 3" xfId="4100"/>
    <cellStyle name="표준 6 3 2" xfId="4101"/>
    <cellStyle name="표준 6 3 3" xfId="4102"/>
    <cellStyle name="표준 6 3 4" xfId="4103"/>
    <cellStyle name="표준 6 4" xfId="4104"/>
    <cellStyle name="표준 6 5" xfId="4105"/>
    <cellStyle name="표준 6 6" xfId="4106"/>
    <cellStyle name="표준 6 7" xfId="4107"/>
    <cellStyle name="표준 6 8" xfId="4108"/>
    <cellStyle name="표준 6 9" xfId="4109"/>
    <cellStyle name="표준 60" xfId="4110"/>
    <cellStyle name="표준 61" xfId="4111"/>
    <cellStyle name="표준 62" xfId="4112"/>
    <cellStyle name="표준 63" xfId="4113"/>
    <cellStyle name="표준 64" xfId="4114"/>
    <cellStyle name="표준 65" xfId="4115"/>
    <cellStyle name="표준 66" xfId="4116"/>
    <cellStyle name="표준 67" xfId="4117"/>
    <cellStyle name="표준 67 2" xfId="4118"/>
    <cellStyle name="표준 67 3" xfId="4119"/>
    <cellStyle name="표준 67 4" xfId="4120"/>
    <cellStyle name="표준 67 5" xfId="4121"/>
    <cellStyle name="표준 68" xfId="4122"/>
    <cellStyle name="표준 69" xfId="4123"/>
    <cellStyle name="표준 69 2" xfId="4124"/>
    <cellStyle name="표준 69 3" xfId="4125"/>
    <cellStyle name="표준 69 4" xfId="4126"/>
    <cellStyle name="표준 69 5" xfId="4127"/>
    <cellStyle name="표준 7" xfId="18"/>
    <cellStyle name="표준 7 10" xfId="4129"/>
    <cellStyle name="표준 7 11" xfId="4128"/>
    <cellStyle name="표준 7 2" xfId="4130"/>
    <cellStyle name="표준 7 3" xfId="4131"/>
    <cellStyle name="표준 7 4" xfId="4132"/>
    <cellStyle name="표준 7 5" xfId="4133"/>
    <cellStyle name="표준 7 6" xfId="4134"/>
    <cellStyle name="표준 7 7" xfId="4135"/>
    <cellStyle name="표준 7 8" xfId="4136"/>
    <cellStyle name="표준 7 9" xfId="4137"/>
    <cellStyle name="표준 70" xfId="4138"/>
    <cellStyle name="표준 70 2" xfId="4139"/>
    <cellStyle name="표준 70 3" xfId="4140"/>
    <cellStyle name="표준 70 4" xfId="4141"/>
    <cellStyle name="표준 70 5" xfId="4142"/>
    <cellStyle name="표준 71" xfId="4143"/>
    <cellStyle name="표준 75" xfId="4144"/>
    <cellStyle name="표준 75 2" xfId="4145"/>
    <cellStyle name="표준 75 3" xfId="4146"/>
    <cellStyle name="표준 8" xfId="20"/>
    <cellStyle name="표준 8 10" xfId="4148"/>
    <cellStyle name="표준 8 11" xfId="4149"/>
    <cellStyle name="표준 8 12" xfId="4147"/>
    <cellStyle name="표준 8 2" xfId="4150"/>
    <cellStyle name="표준 8 2 2" xfId="4151"/>
    <cellStyle name="표준 8 2 3" xfId="4152"/>
    <cellStyle name="표준 8 2 4" xfId="4153"/>
    <cellStyle name="표준 8 3" xfId="4154"/>
    <cellStyle name="표준 8 3 2" xfId="4155"/>
    <cellStyle name="표준 8 3 3" xfId="4156"/>
    <cellStyle name="표준 8 3 4" xfId="4157"/>
    <cellStyle name="표준 8 4" xfId="4158"/>
    <cellStyle name="표준 8 5" xfId="4159"/>
    <cellStyle name="표준 8 6" xfId="4160"/>
    <cellStyle name="표준 8 7" xfId="4161"/>
    <cellStyle name="표준 8 8" xfId="4162"/>
    <cellStyle name="표준 8 9" xfId="4163"/>
    <cellStyle name="표준 9" xfId="21"/>
    <cellStyle name="표준 9 10" xfId="4165"/>
    <cellStyle name="표준 9 11" xfId="4164"/>
    <cellStyle name="표준 9 2" xfId="4166"/>
    <cellStyle name="표준 9 3" xfId="4167"/>
    <cellStyle name="표준 9 4" xfId="4168"/>
    <cellStyle name="표준 9 5" xfId="4169"/>
    <cellStyle name="표준 9 6" xfId="4170"/>
    <cellStyle name="표준 9 7" xfId="4171"/>
    <cellStyle name="표준 9 8" xfId="4172"/>
    <cellStyle name="표준 9 9" xfId="4173"/>
    <cellStyle name="하이퍼링크 2" xfId="7"/>
  </cellStyles>
  <dxfs count="2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7E6A4"/>
      <color rgb="FFFFD9D9"/>
      <color rgb="FFFFBDBD"/>
      <color rgb="FFFF3399"/>
      <color rgb="FF0000FF"/>
      <color rgb="FF99FFCC"/>
      <color rgb="FFDCE6F1"/>
      <color rgb="FFFF6699"/>
      <color rgb="FFCCE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10</xdr:col>
      <xdr:colOff>510540</xdr:colOff>
      <xdr:row>37</xdr:row>
      <xdr:rowOff>172713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914900"/>
          <a:ext cx="5991225" cy="3517893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19</xdr:row>
      <xdr:rowOff>142875</xdr:rowOff>
    </xdr:from>
    <xdr:to>
      <xdr:col>2</xdr:col>
      <xdr:colOff>609600</xdr:colOff>
      <xdr:row>23</xdr:row>
      <xdr:rowOff>200025</xdr:rowOff>
    </xdr:to>
    <xdr:sp macro="" textlink="">
      <xdr:nvSpPr>
        <xdr:cNvPr id="3" name="포인트가 7개인 별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19175" y="3133725"/>
          <a:ext cx="962025" cy="895350"/>
        </a:xfrm>
        <a:prstGeom prst="star7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8"/>
  <sheetViews>
    <sheetView tabSelected="1" workbookViewId="0">
      <selection activeCell="D27" sqref="D27"/>
    </sheetView>
  </sheetViews>
  <sheetFormatPr defaultColWidth="9" defaultRowHeight="15"/>
  <cols>
    <col min="1" max="1" width="9" style="12"/>
    <col min="2" max="2" width="53.7109375" style="32" customWidth="1"/>
    <col min="3" max="3" width="11.140625" style="12" customWidth="1"/>
    <col min="4" max="4" width="63.7109375" style="12" customWidth="1"/>
    <col min="5" max="6" width="14.42578125" style="12" customWidth="1"/>
    <col min="7" max="16384" width="9" style="12"/>
  </cols>
  <sheetData>
    <row r="2" spans="2:6" ht="23.25">
      <c r="B2" s="30" t="s">
        <v>1067</v>
      </c>
    </row>
    <row r="4" spans="2:6" ht="34.5">
      <c r="B4" s="31" t="s">
        <v>0</v>
      </c>
      <c r="C4" s="2" t="s">
        <v>4</v>
      </c>
      <c r="D4" s="2" t="s">
        <v>5</v>
      </c>
      <c r="E4" s="3" t="s">
        <v>6</v>
      </c>
      <c r="F4" s="3" t="s">
        <v>22</v>
      </c>
    </row>
    <row r="5" spans="2:6" ht="45.75">
      <c r="B5" s="135" t="s">
        <v>1072</v>
      </c>
      <c r="C5" s="136" t="s">
        <v>1066</v>
      </c>
      <c r="D5" s="137" t="s">
        <v>1075</v>
      </c>
      <c r="E5" s="138" t="s">
        <v>1074</v>
      </c>
      <c r="F5" s="139" t="s">
        <v>49</v>
      </c>
    </row>
    <row r="6" spans="2:6" ht="15.75">
      <c r="B6" s="135" t="s">
        <v>1073</v>
      </c>
      <c r="C6" s="136" t="s">
        <v>1070</v>
      </c>
      <c r="D6" s="137" t="s">
        <v>1071</v>
      </c>
      <c r="E6" s="138" t="s">
        <v>1074</v>
      </c>
      <c r="F6" s="139" t="s">
        <v>49</v>
      </c>
    </row>
    <row r="7" spans="2:6" ht="15.75">
      <c r="B7" s="135" t="s">
        <v>1076</v>
      </c>
      <c r="C7" s="136" t="s">
        <v>1077</v>
      </c>
      <c r="D7" s="137" t="s">
        <v>1078</v>
      </c>
      <c r="E7" s="138" t="s">
        <v>1074</v>
      </c>
      <c r="F7" s="139" t="s">
        <v>49</v>
      </c>
    </row>
    <row r="8" spans="2:6" ht="15.75">
      <c r="B8" s="130" t="s">
        <v>1119</v>
      </c>
      <c r="C8" s="131" t="s">
        <v>1120</v>
      </c>
      <c r="D8" s="132" t="s">
        <v>1121</v>
      </c>
      <c r="E8" s="133" t="s">
        <v>1074</v>
      </c>
      <c r="F8" s="134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2:K40"/>
  <sheetViews>
    <sheetView workbookViewId="0">
      <selection activeCell="P18" sqref="P18"/>
    </sheetView>
  </sheetViews>
  <sheetFormatPr defaultRowHeight="15"/>
  <cols>
    <col min="1" max="1" width="9" style="4" customWidth="1"/>
  </cols>
  <sheetData>
    <row r="2" spans="2:10" ht="16.5" thickBot="1">
      <c r="B2" s="1"/>
      <c r="C2" s="163" t="s">
        <v>8</v>
      </c>
      <c r="D2" s="163"/>
      <c r="E2" s="6"/>
      <c r="F2" s="6"/>
      <c r="G2" s="124" t="s">
        <v>1057</v>
      </c>
      <c r="H2" s="124"/>
      <c r="I2" s="6"/>
      <c r="J2" s="6"/>
    </row>
    <row r="3" spans="2:10" s="5" customFormat="1">
      <c r="B3" s="20"/>
      <c r="C3" s="164" t="s">
        <v>666</v>
      </c>
      <c r="D3" s="165"/>
      <c r="E3" s="20"/>
      <c r="G3" s="164" t="s">
        <v>666</v>
      </c>
      <c r="H3" s="165"/>
      <c r="I3" s="20"/>
    </row>
    <row r="4" spans="2:10" s="5" customFormat="1">
      <c r="B4" s="20"/>
      <c r="C4" s="21" t="s">
        <v>285</v>
      </c>
      <c r="D4" s="22" t="s">
        <v>26</v>
      </c>
      <c r="E4" s="20"/>
      <c r="G4" s="21" t="s">
        <v>285</v>
      </c>
      <c r="H4" s="22" t="s">
        <v>26</v>
      </c>
      <c r="I4" s="20"/>
    </row>
    <row r="5" spans="2:10" s="5" customFormat="1">
      <c r="B5" s="20"/>
      <c r="C5" s="58" t="s">
        <v>878</v>
      </c>
      <c r="D5" s="59" t="s">
        <v>879</v>
      </c>
      <c r="E5" s="20"/>
      <c r="G5" s="58" t="s">
        <v>878</v>
      </c>
      <c r="H5" s="59" t="s">
        <v>879</v>
      </c>
      <c r="I5" s="20"/>
    </row>
    <row r="6" spans="2:10" s="5" customFormat="1">
      <c r="B6" s="20"/>
      <c r="C6" s="58" t="s">
        <v>7</v>
      </c>
      <c r="D6" s="61" t="s">
        <v>7</v>
      </c>
      <c r="E6" s="20" t="s">
        <v>20</v>
      </c>
      <c r="G6" s="58" t="s">
        <v>7</v>
      </c>
      <c r="H6" s="61" t="s">
        <v>7</v>
      </c>
      <c r="I6" s="20" t="s">
        <v>20</v>
      </c>
    </row>
    <row r="7" spans="2:10" s="5" customFormat="1">
      <c r="B7" s="20"/>
      <c r="C7" s="58" t="s">
        <v>7</v>
      </c>
      <c r="D7" s="59" t="s">
        <v>987</v>
      </c>
      <c r="E7" s="20" t="s">
        <v>979</v>
      </c>
      <c r="G7" s="58" t="s">
        <v>7</v>
      </c>
      <c r="H7" s="59" t="s">
        <v>987</v>
      </c>
      <c r="I7" s="20" t="s">
        <v>979</v>
      </c>
    </row>
    <row r="8" spans="2:10" s="5" customFormat="1">
      <c r="B8" s="20"/>
      <c r="C8" s="60" t="s">
        <v>140</v>
      </c>
      <c r="D8" s="83" t="s">
        <v>3</v>
      </c>
      <c r="E8" s="168" t="s">
        <v>48</v>
      </c>
      <c r="F8" s="169"/>
      <c r="G8" s="60" t="s">
        <v>140</v>
      </c>
      <c r="H8" s="83" t="s">
        <v>3</v>
      </c>
      <c r="I8" s="168" t="s">
        <v>48</v>
      </c>
      <c r="J8" s="169"/>
    </row>
    <row r="9" spans="2:10" s="5" customFormat="1">
      <c r="B9" s="20"/>
      <c r="C9" s="172" t="s">
        <v>647</v>
      </c>
      <c r="D9" s="173"/>
      <c r="E9" s="168"/>
      <c r="F9" s="169"/>
      <c r="G9" s="172" t="s">
        <v>647</v>
      </c>
      <c r="H9" s="173"/>
      <c r="I9" s="168"/>
      <c r="J9" s="169"/>
    </row>
    <row r="10" spans="2:10" s="5" customFormat="1">
      <c r="B10" s="20"/>
      <c r="C10" s="80" t="s">
        <v>144</v>
      </c>
      <c r="D10" s="81" t="s">
        <v>146</v>
      </c>
      <c r="E10" s="79"/>
      <c r="F10" s="79"/>
      <c r="G10" s="80" t="s">
        <v>144</v>
      </c>
      <c r="H10" s="81" t="s">
        <v>146</v>
      </c>
      <c r="I10" s="123"/>
      <c r="J10" s="123"/>
    </row>
    <row r="11" spans="2:10" s="5" customFormat="1">
      <c r="B11" s="20"/>
      <c r="C11" s="80" t="s">
        <v>145</v>
      </c>
      <c r="D11" s="82" t="s">
        <v>147</v>
      </c>
      <c r="E11" s="79"/>
      <c r="F11" s="79"/>
      <c r="G11" s="80" t="s">
        <v>145</v>
      </c>
      <c r="H11" s="82" t="s">
        <v>7</v>
      </c>
      <c r="I11" s="123"/>
      <c r="J11" s="123"/>
    </row>
    <row r="12" spans="2:10" s="5" customFormat="1">
      <c r="B12" s="20"/>
      <c r="C12" s="80" t="s">
        <v>286</v>
      </c>
      <c r="D12" s="82" t="s">
        <v>287</v>
      </c>
      <c r="E12" s="86"/>
      <c r="F12" s="86"/>
      <c r="G12" s="80" t="s">
        <v>286</v>
      </c>
      <c r="H12" s="82" t="s">
        <v>3</v>
      </c>
      <c r="I12" s="123"/>
      <c r="J12" s="123"/>
    </row>
    <row r="13" spans="2:10" s="5" customFormat="1">
      <c r="B13" s="20"/>
      <c r="C13" s="58" t="s">
        <v>21</v>
      </c>
      <c r="D13" s="61" t="s">
        <v>148</v>
      </c>
      <c r="E13" s="20" t="s">
        <v>1056</v>
      </c>
      <c r="G13" s="58" t="s">
        <v>21</v>
      </c>
      <c r="H13" s="61" t="s">
        <v>148</v>
      </c>
      <c r="I13" s="20" t="s">
        <v>1056</v>
      </c>
    </row>
    <row r="14" spans="2:10" s="5" customFormat="1">
      <c r="B14" s="20"/>
      <c r="C14" s="166" t="s">
        <v>483</v>
      </c>
      <c r="D14" s="167"/>
      <c r="E14" s="20" t="s">
        <v>485</v>
      </c>
      <c r="G14" s="166" t="s">
        <v>483</v>
      </c>
      <c r="H14" s="167"/>
      <c r="I14" s="20" t="s">
        <v>485</v>
      </c>
    </row>
    <row r="15" spans="2:10" s="5" customFormat="1">
      <c r="C15" s="166" t="s">
        <v>23</v>
      </c>
      <c r="D15" s="167"/>
      <c r="E15" s="20" t="s">
        <v>484</v>
      </c>
      <c r="G15" s="166" t="s">
        <v>23</v>
      </c>
      <c r="H15" s="167"/>
      <c r="I15" s="20" t="s">
        <v>484</v>
      </c>
    </row>
    <row r="16" spans="2:10" s="5" customFormat="1">
      <c r="C16" s="166" t="s">
        <v>24</v>
      </c>
      <c r="D16" s="167"/>
      <c r="E16" s="20" t="s">
        <v>9</v>
      </c>
      <c r="G16" s="166" t="s">
        <v>24</v>
      </c>
      <c r="H16" s="167"/>
      <c r="I16" s="20" t="s">
        <v>9</v>
      </c>
    </row>
    <row r="17" spans="3:9" s="5" customFormat="1" ht="15.75" thickBot="1">
      <c r="C17" s="62" t="s">
        <v>1</v>
      </c>
      <c r="D17" s="63" t="s">
        <v>141</v>
      </c>
      <c r="E17" s="20" t="s">
        <v>142</v>
      </c>
      <c r="G17" s="62" t="s">
        <v>1</v>
      </c>
      <c r="H17" s="125" t="s">
        <v>1058</v>
      </c>
      <c r="I17" s="20" t="s">
        <v>142</v>
      </c>
    </row>
    <row r="40" spans="3:11" ht="21">
      <c r="C40" s="170" t="s">
        <v>17</v>
      </c>
      <c r="D40" s="171"/>
      <c r="E40" s="171"/>
      <c r="F40" s="171"/>
      <c r="G40" s="171"/>
      <c r="H40" s="171"/>
      <c r="I40" s="171"/>
      <c r="J40" s="171"/>
      <c r="K40" s="171"/>
    </row>
  </sheetData>
  <mergeCells count="14">
    <mergeCell ref="C2:D2"/>
    <mergeCell ref="C3:D3"/>
    <mergeCell ref="C15:D15"/>
    <mergeCell ref="E8:F9"/>
    <mergeCell ref="C40:K40"/>
    <mergeCell ref="C9:D9"/>
    <mergeCell ref="C16:D16"/>
    <mergeCell ref="C14:D14"/>
    <mergeCell ref="G3:H3"/>
    <mergeCell ref="I8:J9"/>
    <mergeCell ref="G9:H9"/>
    <mergeCell ref="G14:H14"/>
    <mergeCell ref="G15:H15"/>
    <mergeCell ref="G16:H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C4911"/>
  <sheetViews>
    <sheetView topLeftCell="A157" workbookViewId="0">
      <selection activeCell="B5" sqref="B5:C213"/>
    </sheetView>
  </sheetViews>
  <sheetFormatPr defaultColWidth="9" defaultRowHeight="12.75"/>
  <cols>
    <col min="1" max="1" width="9" style="16"/>
    <col min="2" max="3" width="9" style="94"/>
    <col min="4" max="16384" width="9" style="17"/>
  </cols>
  <sheetData>
    <row r="2" spans="1:3" ht="13.5" thickBot="1">
      <c r="B2" s="100" t="s">
        <v>648</v>
      </c>
    </row>
    <row r="3" spans="1:3">
      <c r="B3" s="174" t="s">
        <v>976</v>
      </c>
      <c r="C3" s="175"/>
    </row>
    <row r="4" spans="1:3" ht="13.5" thickBot="1">
      <c r="B4" s="97" t="s">
        <v>16</v>
      </c>
      <c r="C4" s="98" t="s">
        <v>26</v>
      </c>
    </row>
    <row r="5" spans="1:3">
      <c r="B5" s="93" t="s">
        <v>667</v>
      </c>
      <c r="C5" s="93" t="s">
        <v>151</v>
      </c>
    </row>
    <row r="6" spans="1:3">
      <c r="A6" s="76"/>
      <c r="B6" s="93" t="s">
        <v>626</v>
      </c>
      <c r="C6" s="93" t="s">
        <v>300</v>
      </c>
    </row>
    <row r="7" spans="1:3">
      <c r="A7" s="76"/>
      <c r="B7" s="93" t="s">
        <v>668</v>
      </c>
      <c r="C7" s="93" t="s">
        <v>232</v>
      </c>
    </row>
    <row r="8" spans="1:3">
      <c r="A8" s="77"/>
      <c r="B8" s="93" t="s">
        <v>669</v>
      </c>
      <c r="C8" s="93" t="s">
        <v>233</v>
      </c>
    </row>
    <row r="9" spans="1:3">
      <c r="A9" s="76"/>
      <c r="B9" s="93" t="s">
        <v>670</v>
      </c>
      <c r="C9" s="93" t="s">
        <v>671</v>
      </c>
    </row>
    <row r="10" spans="1:3">
      <c r="A10" s="77"/>
      <c r="B10" s="93" t="s">
        <v>672</v>
      </c>
      <c r="C10" s="93" t="s">
        <v>519</v>
      </c>
    </row>
    <row r="11" spans="1:3">
      <c r="A11" s="76"/>
      <c r="B11" s="93" t="s">
        <v>673</v>
      </c>
      <c r="C11" s="93" t="s">
        <v>235</v>
      </c>
    </row>
    <row r="12" spans="1:3">
      <c r="A12" s="77"/>
      <c r="B12" s="93" t="s">
        <v>674</v>
      </c>
      <c r="C12" s="93" t="s">
        <v>254</v>
      </c>
    </row>
    <row r="13" spans="1:3">
      <c r="A13" s="77"/>
      <c r="B13" s="93" t="s">
        <v>675</v>
      </c>
      <c r="C13" s="93" t="s">
        <v>235</v>
      </c>
    </row>
    <row r="14" spans="1:3">
      <c r="A14" s="76"/>
      <c r="B14" s="93" t="s">
        <v>676</v>
      </c>
      <c r="C14" s="93" t="s">
        <v>236</v>
      </c>
    </row>
    <row r="15" spans="1:3">
      <c r="A15" s="77"/>
      <c r="B15" s="93" t="s">
        <v>677</v>
      </c>
      <c r="C15" s="93" t="s">
        <v>988</v>
      </c>
    </row>
    <row r="16" spans="1:3">
      <c r="A16" s="76"/>
      <c r="B16" s="93" t="s">
        <v>678</v>
      </c>
      <c r="C16" s="93" t="s">
        <v>257</v>
      </c>
    </row>
    <row r="17" spans="1:3">
      <c r="A17" s="77"/>
      <c r="B17" s="93" t="s">
        <v>679</v>
      </c>
      <c r="C17" s="93" t="s">
        <v>258</v>
      </c>
    </row>
    <row r="18" spans="1:3">
      <c r="A18" s="76"/>
      <c r="B18" s="93" t="s">
        <v>680</v>
      </c>
      <c r="C18" s="93" t="s">
        <v>292</v>
      </c>
    </row>
    <row r="19" spans="1:3">
      <c r="A19" s="77"/>
      <c r="B19" s="93" t="s">
        <v>681</v>
      </c>
      <c r="C19" s="93" t="s">
        <v>235</v>
      </c>
    </row>
    <row r="20" spans="1:3">
      <c r="A20" s="76"/>
      <c r="B20" s="93" t="s">
        <v>682</v>
      </c>
      <c r="C20" s="93" t="s">
        <v>527</v>
      </c>
    </row>
    <row r="21" spans="1:3">
      <c r="A21" s="77"/>
      <c r="B21" s="93" t="s">
        <v>683</v>
      </c>
      <c r="C21" s="93" t="s">
        <v>235</v>
      </c>
    </row>
    <row r="22" spans="1:3">
      <c r="A22" s="77"/>
      <c r="B22" s="93" t="s">
        <v>684</v>
      </c>
      <c r="C22" s="93" t="s">
        <v>236</v>
      </c>
    </row>
    <row r="23" spans="1:3">
      <c r="A23" s="77"/>
      <c r="B23" s="93" t="s">
        <v>685</v>
      </c>
      <c r="C23" s="93" t="s">
        <v>649</v>
      </c>
    </row>
    <row r="24" spans="1:3">
      <c r="A24" s="76"/>
      <c r="B24" s="93" t="s">
        <v>686</v>
      </c>
      <c r="C24" s="93" t="s">
        <v>237</v>
      </c>
    </row>
    <row r="25" spans="1:3">
      <c r="A25" s="77"/>
      <c r="B25" s="93" t="s">
        <v>687</v>
      </c>
      <c r="C25" s="93" t="s">
        <v>989</v>
      </c>
    </row>
    <row r="26" spans="1:3">
      <c r="A26" s="77"/>
      <c r="B26" s="93" t="s">
        <v>688</v>
      </c>
      <c r="C26" s="93" t="s">
        <v>650</v>
      </c>
    </row>
    <row r="27" spans="1:3">
      <c r="A27" s="77"/>
      <c r="B27" s="93" t="s">
        <v>689</v>
      </c>
      <c r="C27" s="93" t="s">
        <v>527</v>
      </c>
    </row>
    <row r="28" spans="1:3">
      <c r="A28" s="76"/>
      <c r="B28" s="93" t="s">
        <v>690</v>
      </c>
      <c r="C28" s="93" t="s">
        <v>235</v>
      </c>
    </row>
    <row r="29" spans="1:3">
      <c r="A29" s="76"/>
      <c r="B29" s="93" t="s">
        <v>691</v>
      </c>
      <c r="C29" s="93" t="s">
        <v>651</v>
      </c>
    </row>
    <row r="30" spans="1:3">
      <c r="A30" s="76"/>
      <c r="B30" s="93" t="s">
        <v>692</v>
      </c>
      <c r="C30" s="93" t="s">
        <v>235</v>
      </c>
    </row>
    <row r="31" spans="1:3">
      <c r="A31" s="76"/>
      <c r="B31" s="93" t="s">
        <v>693</v>
      </c>
      <c r="C31" s="93" t="s">
        <v>237</v>
      </c>
    </row>
    <row r="32" spans="1:3">
      <c r="A32" s="77"/>
      <c r="B32" s="93" t="s">
        <v>694</v>
      </c>
      <c r="C32" s="93" t="s">
        <v>695</v>
      </c>
    </row>
    <row r="33" spans="1:3">
      <c r="A33" s="76"/>
      <c r="B33" s="93" t="s">
        <v>696</v>
      </c>
      <c r="C33" s="93" t="s">
        <v>291</v>
      </c>
    </row>
    <row r="34" spans="1:3">
      <c r="A34" s="77"/>
      <c r="B34" s="93" t="s">
        <v>697</v>
      </c>
      <c r="C34" s="93" t="s">
        <v>652</v>
      </c>
    </row>
    <row r="35" spans="1:3">
      <c r="A35" s="76"/>
      <c r="B35" s="93" t="s">
        <v>698</v>
      </c>
      <c r="C35" s="93" t="s">
        <v>699</v>
      </c>
    </row>
    <row r="36" spans="1:3">
      <c r="A36" s="77"/>
      <c r="B36" s="93" t="s">
        <v>700</v>
      </c>
      <c r="C36" s="93" t="s">
        <v>235</v>
      </c>
    </row>
    <row r="37" spans="1:3">
      <c r="A37" s="77"/>
      <c r="B37" s="93" t="s">
        <v>701</v>
      </c>
      <c r="C37" s="93" t="s">
        <v>527</v>
      </c>
    </row>
    <row r="38" spans="1:3">
      <c r="A38" s="77"/>
      <c r="B38" s="93" t="s">
        <v>702</v>
      </c>
      <c r="C38" s="93" t="s">
        <v>235</v>
      </c>
    </row>
    <row r="39" spans="1:3">
      <c r="A39" s="77"/>
      <c r="B39" s="93" t="s">
        <v>703</v>
      </c>
      <c r="C39" s="93" t="s">
        <v>526</v>
      </c>
    </row>
    <row r="40" spans="1:3">
      <c r="A40" s="77"/>
      <c r="B40" s="93" t="s">
        <v>704</v>
      </c>
      <c r="C40" s="93" t="s">
        <v>301</v>
      </c>
    </row>
    <row r="41" spans="1:3">
      <c r="A41" s="77"/>
      <c r="B41" s="93" t="s">
        <v>705</v>
      </c>
      <c r="C41" s="93" t="s">
        <v>237</v>
      </c>
    </row>
    <row r="42" spans="1:3">
      <c r="A42" s="77"/>
      <c r="B42" s="93" t="s">
        <v>706</v>
      </c>
      <c r="C42" s="93" t="s">
        <v>707</v>
      </c>
    </row>
    <row r="43" spans="1:3">
      <c r="A43" s="77"/>
      <c r="B43" s="93" t="s">
        <v>708</v>
      </c>
      <c r="C43" s="93" t="s">
        <v>246</v>
      </c>
    </row>
    <row r="44" spans="1:3">
      <c r="A44" s="77"/>
      <c r="B44" s="93" t="s">
        <v>709</v>
      </c>
      <c r="C44" s="93" t="s">
        <v>255</v>
      </c>
    </row>
    <row r="45" spans="1:3">
      <c r="A45" s="77"/>
      <c r="B45" s="93" t="s">
        <v>710</v>
      </c>
      <c r="C45" s="93" t="s">
        <v>990</v>
      </c>
    </row>
    <row r="46" spans="1:3">
      <c r="A46" s="77"/>
      <c r="B46" s="93" t="s">
        <v>711</v>
      </c>
      <c r="C46" s="93" t="s">
        <v>256</v>
      </c>
    </row>
    <row r="47" spans="1:3">
      <c r="A47" s="77"/>
      <c r="B47" s="93" t="s">
        <v>712</v>
      </c>
      <c r="C47" s="93" t="s">
        <v>713</v>
      </c>
    </row>
    <row r="48" spans="1:3">
      <c r="A48" s="77"/>
      <c r="B48" s="93" t="s">
        <v>714</v>
      </c>
      <c r="C48" s="93" t="s">
        <v>653</v>
      </c>
    </row>
    <row r="49" spans="1:3">
      <c r="A49" s="77"/>
      <c r="B49" s="93" t="s">
        <v>715</v>
      </c>
      <c r="C49" s="93" t="s">
        <v>525</v>
      </c>
    </row>
    <row r="50" spans="1:3">
      <c r="A50" s="77"/>
      <c r="B50" s="93" t="s">
        <v>716</v>
      </c>
      <c r="C50" s="93" t="s">
        <v>251</v>
      </c>
    </row>
    <row r="51" spans="1:3">
      <c r="A51" s="77"/>
      <c r="B51" s="93" t="s">
        <v>717</v>
      </c>
      <c r="C51" s="93" t="s">
        <v>243</v>
      </c>
    </row>
    <row r="52" spans="1:3">
      <c r="A52" s="77"/>
      <c r="B52" s="93" t="s">
        <v>718</v>
      </c>
      <c r="C52" s="93" t="s">
        <v>719</v>
      </c>
    </row>
    <row r="53" spans="1:3">
      <c r="A53" s="77"/>
      <c r="B53" s="93" t="s">
        <v>720</v>
      </c>
      <c r="C53" s="93" t="s">
        <v>519</v>
      </c>
    </row>
    <row r="54" spans="1:3">
      <c r="A54" s="77"/>
      <c r="B54" s="93" t="s">
        <v>721</v>
      </c>
      <c r="C54" s="93" t="s">
        <v>235</v>
      </c>
    </row>
    <row r="55" spans="1:3">
      <c r="A55" s="77"/>
      <c r="B55" s="93" t="s">
        <v>722</v>
      </c>
      <c r="C55" s="93" t="s">
        <v>991</v>
      </c>
    </row>
    <row r="56" spans="1:3">
      <c r="A56" s="77"/>
      <c r="B56" s="93" t="s">
        <v>723</v>
      </c>
      <c r="C56" s="93" t="s">
        <v>992</v>
      </c>
    </row>
    <row r="57" spans="1:3">
      <c r="A57" s="77"/>
      <c r="B57" s="93" t="s">
        <v>724</v>
      </c>
      <c r="C57" s="93" t="s">
        <v>300</v>
      </c>
    </row>
    <row r="58" spans="1:3">
      <c r="A58" s="77"/>
      <c r="B58" s="93" t="s">
        <v>725</v>
      </c>
      <c r="C58" s="93" t="s">
        <v>232</v>
      </c>
    </row>
    <row r="59" spans="1:3">
      <c r="A59" s="77"/>
      <c r="B59" s="93" t="s">
        <v>726</v>
      </c>
      <c r="C59" s="93" t="s">
        <v>241</v>
      </c>
    </row>
    <row r="60" spans="1:3">
      <c r="A60" s="77"/>
      <c r="B60" s="93" t="s">
        <v>727</v>
      </c>
      <c r="C60" s="93" t="s">
        <v>993</v>
      </c>
    </row>
    <row r="61" spans="1:3">
      <c r="A61" s="77"/>
      <c r="B61" s="93" t="s">
        <v>728</v>
      </c>
      <c r="C61" s="93" t="s">
        <v>84</v>
      </c>
    </row>
    <row r="62" spans="1:3">
      <c r="A62" s="77"/>
      <c r="B62" s="93" t="s">
        <v>729</v>
      </c>
      <c r="C62" s="93" t="s">
        <v>84</v>
      </c>
    </row>
    <row r="63" spans="1:3">
      <c r="A63" s="77"/>
      <c r="B63" s="93" t="s">
        <v>730</v>
      </c>
      <c r="C63" s="93" t="s">
        <v>84</v>
      </c>
    </row>
    <row r="64" spans="1:3">
      <c r="A64" s="77"/>
      <c r="B64" s="93" t="s">
        <v>731</v>
      </c>
      <c r="C64" s="93" t="s">
        <v>84</v>
      </c>
    </row>
    <row r="65" spans="1:3">
      <c r="A65" s="77"/>
      <c r="B65" s="93" t="s">
        <v>732</v>
      </c>
      <c r="C65" s="93" t="s">
        <v>84</v>
      </c>
    </row>
    <row r="66" spans="1:3">
      <c r="A66" s="77"/>
      <c r="B66" s="93" t="s">
        <v>733</v>
      </c>
      <c r="C66" s="93" t="s">
        <v>300</v>
      </c>
    </row>
    <row r="67" spans="1:3">
      <c r="A67" s="77"/>
      <c r="B67" s="93" t="s">
        <v>734</v>
      </c>
      <c r="C67" s="93" t="s">
        <v>232</v>
      </c>
    </row>
    <row r="68" spans="1:3">
      <c r="A68" s="77"/>
      <c r="B68" s="93" t="s">
        <v>735</v>
      </c>
      <c r="C68" s="93" t="s">
        <v>233</v>
      </c>
    </row>
    <row r="69" spans="1:3">
      <c r="A69" s="77"/>
      <c r="B69" s="93" t="s">
        <v>736</v>
      </c>
      <c r="C69" s="93" t="s">
        <v>994</v>
      </c>
    </row>
    <row r="70" spans="1:3">
      <c r="A70" s="77"/>
      <c r="B70" s="93" t="s">
        <v>737</v>
      </c>
      <c r="C70" s="93" t="s">
        <v>522</v>
      </c>
    </row>
    <row r="71" spans="1:3">
      <c r="A71" s="77"/>
      <c r="B71" s="93" t="s">
        <v>738</v>
      </c>
      <c r="C71" s="93" t="s">
        <v>251</v>
      </c>
    </row>
    <row r="72" spans="1:3">
      <c r="A72" s="77"/>
      <c r="B72" s="93" t="s">
        <v>739</v>
      </c>
      <c r="C72" s="93" t="s">
        <v>243</v>
      </c>
    </row>
    <row r="73" spans="1:3">
      <c r="A73" s="77"/>
      <c r="B73" s="93" t="s">
        <v>740</v>
      </c>
      <c r="C73" s="93" t="s">
        <v>995</v>
      </c>
    </row>
    <row r="74" spans="1:3">
      <c r="A74" s="77"/>
      <c r="B74" s="93" t="s">
        <v>741</v>
      </c>
      <c r="C74" s="93" t="s">
        <v>234</v>
      </c>
    </row>
    <row r="75" spans="1:3">
      <c r="A75" s="77"/>
      <c r="B75" s="93" t="s">
        <v>742</v>
      </c>
      <c r="C75" s="93" t="s">
        <v>235</v>
      </c>
    </row>
    <row r="76" spans="1:3">
      <c r="A76" s="77"/>
      <c r="B76" s="93" t="s">
        <v>743</v>
      </c>
      <c r="C76" s="93" t="s">
        <v>293</v>
      </c>
    </row>
    <row r="77" spans="1:3">
      <c r="A77" s="77"/>
      <c r="B77" s="93" t="s">
        <v>744</v>
      </c>
      <c r="C77" s="93" t="s">
        <v>521</v>
      </c>
    </row>
    <row r="78" spans="1:3">
      <c r="A78" s="77"/>
      <c r="B78" s="93" t="s">
        <v>745</v>
      </c>
      <c r="C78" s="93" t="s">
        <v>294</v>
      </c>
    </row>
    <row r="79" spans="1:3">
      <c r="A79" s="77"/>
      <c r="B79" s="93" t="s">
        <v>746</v>
      </c>
      <c r="C79" s="93" t="s">
        <v>637</v>
      </c>
    </row>
    <row r="80" spans="1:3">
      <c r="A80" s="77"/>
      <c r="B80" s="93" t="s">
        <v>747</v>
      </c>
      <c r="C80" s="93" t="s">
        <v>232</v>
      </c>
    </row>
    <row r="81" spans="1:3">
      <c r="A81" s="77"/>
      <c r="B81" s="93" t="s">
        <v>748</v>
      </c>
      <c r="C81" s="93" t="s">
        <v>243</v>
      </c>
    </row>
    <row r="82" spans="1:3">
      <c r="A82" s="77"/>
      <c r="B82" s="93" t="s">
        <v>749</v>
      </c>
      <c r="C82" s="93" t="s">
        <v>996</v>
      </c>
    </row>
    <row r="83" spans="1:3">
      <c r="A83" s="77"/>
      <c r="B83" s="93" t="s">
        <v>750</v>
      </c>
      <c r="C83" s="93" t="s">
        <v>300</v>
      </c>
    </row>
    <row r="84" spans="1:3">
      <c r="A84" s="77"/>
      <c r="B84" s="93" t="s">
        <v>751</v>
      </c>
      <c r="C84" s="93" t="s">
        <v>232</v>
      </c>
    </row>
    <row r="85" spans="1:3">
      <c r="A85" s="77"/>
      <c r="B85" s="93" t="s">
        <v>752</v>
      </c>
      <c r="C85" s="93" t="s">
        <v>241</v>
      </c>
    </row>
    <row r="86" spans="1:3">
      <c r="A86" s="77"/>
      <c r="B86" s="93" t="s">
        <v>753</v>
      </c>
      <c r="C86" s="93" t="s">
        <v>997</v>
      </c>
    </row>
    <row r="87" spans="1:3">
      <c r="A87" s="77"/>
      <c r="B87" s="93" t="s">
        <v>754</v>
      </c>
      <c r="C87" s="93" t="s">
        <v>300</v>
      </c>
    </row>
    <row r="88" spans="1:3">
      <c r="A88" s="77"/>
      <c r="B88" s="93" t="s">
        <v>755</v>
      </c>
      <c r="C88" s="93" t="s">
        <v>232</v>
      </c>
    </row>
    <row r="89" spans="1:3">
      <c r="A89" s="77"/>
      <c r="B89" s="93" t="s">
        <v>756</v>
      </c>
      <c r="C89" s="93" t="s">
        <v>233</v>
      </c>
    </row>
    <row r="90" spans="1:3">
      <c r="A90" s="77"/>
      <c r="B90" s="93" t="s">
        <v>757</v>
      </c>
      <c r="C90" s="93" t="s">
        <v>758</v>
      </c>
    </row>
    <row r="91" spans="1:3">
      <c r="A91" s="77"/>
      <c r="B91" s="93" t="s">
        <v>759</v>
      </c>
      <c r="C91" s="93" t="s">
        <v>242</v>
      </c>
    </row>
    <row r="92" spans="1:3">
      <c r="A92" s="77"/>
      <c r="B92" s="93" t="s">
        <v>760</v>
      </c>
      <c r="C92" s="93" t="s">
        <v>232</v>
      </c>
    </row>
    <row r="93" spans="1:3">
      <c r="A93" s="77"/>
      <c r="B93" s="93" t="s">
        <v>761</v>
      </c>
      <c r="C93" s="93" t="s">
        <v>243</v>
      </c>
    </row>
    <row r="94" spans="1:3">
      <c r="A94" s="77"/>
      <c r="B94" s="93" t="s">
        <v>762</v>
      </c>
      <c r="C94" s="93" t="s">
        <v>998</v>
      </c>
    </row>
    <row r="95" spans="1:3">
      <c r="A95" s="77"/>
      <c r="B95" s="93" t="s">
        <v>763</v>
      </c>
      <c r="C95" s="93" t="s">
        <v>656</v>
      </c>
    </row>
    <row r="96" spans="1:3">
      <c r="A96" s="77"/>
      <c r="B96" s="93" t="s">
        <v>764</v>
      </c>
      <c r="C96" s="93" t="s">
        <v>246</v>
      </c>
    </row>
    <row r="97" spans="1:3">
      <c r="A97" s="77"/>
      <c r="B97" s="93" t="s">
        <v>765</v>
      </c>
      <c r="C97" s="93" t="s">
        <v>657</v>
      </c>
    </row>
    <row r="98" spans="1:3">
      <c r="A98" s="77"/>
      <c r="B98" s="93" t="s">
        <v>766</v>
      </c>
      <c r="C98" s="93" t="s">
        <v>256</v>
      </c>
    </row>
    <row r="99" spans="1:3">
      <c r="A99" s="77"/>
      <c r="B99" s="93" t="s">
        <v>767</v>
      </c>
      <c r="C99" s="93" t="s">
        <v>658</v>
      </c>
    </row>
    <row r="100" spans="1:3">
      <c r="A100" s="77"/>
      <c r="B100" s="93" t="s">
        <v>768</v>
      </c>
      <c r="C100" s="93" t="s">
        <v>659</v>
      </c>
    </row>
    <row r="101" spans="1:3">
      <c r="A101" s="77"/>
      <c r="B101" s="93" t="s">
        <v>769</v>
      </c>
      <c r="C101" s="93" t="s">
        <v>249</v>
      </c>
    </row>
    <row r="102" spans="1:3">
      <c r="A102" s="77"/>
      <c r="B102" s="93" t="s">
        <v>770</v>
      </c>
      <c r="C102" s="93" t="s">
        <v>243</v>
      </c>
    </row>
    <row r="103" spans="1:3">
      <c r="A103" s="77"/>
      <c r="B103" s="93" t="s">
        <v>771</v>
      </c>
      <c r="C103" s="93" t="s">
        <v>999</v>
      </c>
    </row>
    <row r="104" spans="1:3">
      <c r="A104" s="77"/>
      <c r="B104" s="93" t="s">
        <v>772</v>
      </c>
      <c r="C104" s="93" t="s">
        <v>300</v>
      </c>
    </row>
    <row r="105" spans="1:3">
      <c r="A105" s="77"/>
      <c r="B105" s="93" t="s">
        <v>773</v>
      </c>
      <c r="C105" s="93" t="s">
        <v>232</v>
      </c>
    </row>
    <row r="106" spans="1:3">
      <c r="A106" s="77"/>
      <c r="B106" s="93" t="s">
        <v>774</v>
      </c>
      <c r="C106" s="93" t="s">
        <v>241</v>
      </c>
    </row>
    <row r="107" spans="1:3">
      <c r="A107" s="77"/>
      <c r="B107" s="93" t="s">
        <v>775</v>
      </c>
      <c r="C107" s="93" t="s">
        <v>776</v>
      </c>
    </row>
    <row r="108" spans="1:3">
      <c r="A108" s="77"/>
      <c r="B108" s="93" t="s">
        <v>777</v>
      </c>
      <c r="C108" s="93" t="s">
        <v>300</v>
      </c>
    </row>
    <row r="109" spans="1:3">
      <c r="A109" s="77"/>
      <c r="B109" s="93" t="s">
        <v>778</v>
      </c>
      <c r="C109" s="93" t="s">
        <v>232</v>
      </c>
    </row>
    <row r="110" spans="1:3">
      <c r="A110" s="77"/>
      <c r="B110" s="93" t="s">
        <v>779</v>
      </c>
      <c r="C110" s="93" t="s">
        <v>233</v>
      </c>
    </row>
    <row r="111" spans="1:3">
      <c r="A111" s="77"/>
      <c r="B111" s="93" t="s">
        <v>780</v>
      </c>
      <c r="C111" s="93" t="s">
        <v>781</v>
      </c>
    </row>
    <row r="112" spans="1:3">
      <c r="A112" s="77"/>
      <c r="B112" s="93" t="s">
        <v>782</v>
      </c>
      <c r="C112" s="93" t="s">
        <v>520</v>
      </c>
    </row>
    <row r="113" spans="1:3">
      <c r="A113" s="77"/>
      <c r="B113" s="93" t="s">
        <v>783</v>
      </c>
      <c r="C113" s="93" t="s">
        <v>235</v>
      </c>
    </row>
    <row r="114" spans="1:3">
      <c r="A114" s="77"/>
      <c r="B114" s="93" t="s">
        <v>784</v>
      </c>
      <c r="C114" s="93" t="s">
        <v>252</v>
      </c>
    </row>
    <row r="115" spans="1:3">
      <c r="A115" s="77"/>
      <c r="B115" s="93" t="s">
        <v>785</v>
      </c>
      <c r="C115" s="93" t="s">
        <v>235</v>
      </c>
    </row>
    <row r="116" spans="1:3">
      <c r="A116" s="77"/>
      <c r="B116" s="93" t="s">
        <v>786</v>
      </c>
      <c r="C116" s="93" t="s">
        <v>297</v>
      </c>
    </row>
    <row r="117" spans="1:3">
      <c r="A117" s="77"/>
      <c r="B117" s="93" t="s">
        <v>787</v>
      </c>
      <c r="C117" s="93" t="s">
        <v>627</v>
      </c>
    </row>
    <row r="118" spans="1:3">
      <c r="A118" s="77"/>
      <c r="B118" s="93" t="s">
        <v>788</v>
      </c>
      <c r="C118" s="93" t="s">
        <v>236</v>
      </c>
    </row>
    <row r="119" spans="1:3">
      <c r="A119" s="77"/>
      <c r="B119" s="93" t="s">
        <v>789</v>
      </c>
      <c r="C119" s="93" t="s">
        <v>238</v>
      </c>
    </row>
    <row r="120" spans="1:3">
      <c r="A120" s="77"/>
      <c r="B120" s="93" t="s">
        <v>790</v>
      </c>
      <c r="C120" s="93" t="s">
        <v>638</v>
      </c>
    </row>
    <row r="121" spans="1:3">
      <c r="A121" s="77"/>
      <c r="B121" s="93" t="s">
        <v>791</v>
      </c>
      <c r="C121" s="93" t="s">
        <v>628</v>
      </c>
    </row>
    <row r="122" spans="1:3">
      <c r="A122" s="77"/>
      <c r="B122" s="93" t="s">
        <v>792</v>
      </c>
      <c r="C122" s="93" t="s">
        <v>639</v>
      </c>
    </row>
    <row r="123" spans="1:3">
      <c r="A123" s="77"/>
      <c r="B123" s="93" t="s">
        <v>793</v>
      </c>
      <c r="C123" s="93" t="s">
        <v>640</v>
      </c>
    </row>
    <row r="124" spans="1:3">
      <c r="A124" s="77"/>
      <c r="B124" s="93" t="s">
        <v>794</v>
      </c>
      <c r="C124" s="93" t="s">
        <v>299</v>
      </c>
    </row>
    <row r="125" spans="1:3">
      <c r="A125" s="77"/>
      <c r="B125" s="93" t="s">
        <v>795</v>
      </c>
      <c r="C125" s="93" t="s">
        <v>629</v>
      </c>
    </row>
    <row r="126" spans="1:3">
      <c r="A126" s="77"/>
      <c r="B126" s="93" t="s">
        <v>796</v>
      </c>
      <c r="C126" s="93" t="s">
        <v>289</v>
      </c>
    </row>
    <row r="127" spans="1:3">
      <c r="A127" s="77"/>
      <c r="B127" s="93" t="s">
        <v>797</v>
      </c>
      <c r="C127" s="93" t="s">
        <v>630</v>
      </c>
    </row>
    <row r="128" spans="1:3">
      <c r="A128" s="77"/>
      <c r="B128" s="93" t="s">
        <v>798</v>
      </c>
      <c r="C128" s="93" t="s">
        <v>641</v>
      </c>
    </row>
    <row r="129" spans="1:3">
      <c r="A129" s="77"/>
      <c r="B129" s="93" t="s">
        <v>799</v>
      </c>
      <c r="C129" s="93" t="s">
        <v>631</v>
      </c>
    </row>
    <row r="130" spans="1:3">
      <c r="A130" s="77"/>
      <c r="B130" s="93" t="s">
        <v>800</v>
      </c>
      <c r="C130" s="93" t="s">
        <v>632</v>
      </c>
    </row>
    <row r="131" spans="1:3">
      <c r="A131" s="77"/>
      <c r="B131" s="93" t="s">
        <v>801</v>
      </c>
      <c r="C131" s="93" t="s">
        <v>244</v>
      </c>
    </row>
    <row r="132" spans="1:3">
      <c r="A132" s="77"/>
      <c r="B132" s="93" t="s">
        <v>802</v>
      </c>
      <c r="C132" s="93" t="s">
        <v>349</v>
      </c>
    </row>
    <row r="133" spans="1:3">
      <c r="A133" s="77"/>
      <c r="B133" s="93" t="s">
        <v>803</v>
      </c>
      <c r="C133" s="93" t="s">
        <v>633</v>
      </c>
    </row>
    <row r="134" spans="1:3">
      <c r="A134" s="77"/>
      <c r="B134" s="93" t="s">
        <v>804</v>
      </c>
      <c r="C134" s="93" t="s">
        <v>290</v>
      </c>
    </row>
    <row r="135" spans="1:3">
      <c r="A135" s="77"/>
      <c r="B135" s="93" t="s">
        <v>805</v>
      </c>
      <c r="C135" s="93" t="s">
        <v>634</v>
      </c>
    </row>
    <row r="136" spans="1:3">
      <c r="A136" s="77"/>
      <c r="B136" s="93" t="s">
        <v>806</v>
      </c>
      <c r="C136" s="93" t="s">
        <v>635</v>
      </c>
    </row>
    <row r="137" spans="1:3">
      <c r="A137" s="77"/>
      <c r="B137" s="93" t="s">
        <v>807</v>
      </c>
      <c r="C137" s="93" t="s">
        <v>249</v>
      </c>
    </row>
    <row r="138" spans="1:3">
      <c r="A138" s="77"/>
      <c r="B138" s="93" t="s">
        <v>808</v>
      </c>
      <c r="C138" s="93" t="s">
        <v>243</v>
      </c>
    </row>
    <row r="139" spans="1:3">
      <c r="A139" s="77"/>
      <c r="B139" s="93" t="s">
        <v>809</v>
      </c>
      <c r="C139" s="93" t="s">
        <v>1000</v>
      </c>
    </row>
    <row r="140" spans="1:3">
      <c r="A140" s="77"/>
      <c r="B140" s="93" t="s">
        <v>810</v>
      </c>
      <c r="C140" s="93" t="s">
        <v>349</v>
      </c>
    </row>
    <row r="141" spans="1:3">
      <c r="A141" s="77"/>
      <c r="B141" s="93" t="s">
        <v>811</v>
      </c>
      <c r="C141" s="93" t="s">
        <v>636</v>
      </c>
    </row>
    <row r="142" spans="1:3">
      <c r="A142" s="77"/>
      <c r="B142" s="93" t="s">
        <v>812</v>
      </c>
      <c r="C142" s="93" t="s">
        <v>290</v>
      </c>
    </row>
    <row r="143" spans="1:3">
      <c r="A143" s="77"/>
      <c r="B143" s="93" t="s">
        <v>813</v>
      </c>
      <c r="C143" s="93" t="s">
        <v>642</v>
      </c>
    </row>
    <row r="144" spans="1:3">
      <c r="A144" s="77"/>
      <c r="B144" s="93" t="s">
        <v>814</v>
      </c>
      <c r="C144" s="93" t="s">
        <v>300</v>
      </c>
    </row>
    <row r="145" spans="1:3">
      <c r="A145" s="77"/>
      <c r="B145" s="93" t="s">
        <v>815</v>
      </c>
      <c r="C145" s="93" t="s">
        <v>232</v>
      </c>
    </row>
    <row r="146" spans="1:3">
      <c r="A146" s="77"/>
      <c r="B146" s="93" t="s">
        <v>816</v>
      </c>
      <c r="C146" s="93" t="s">
        <v>241</v>
      </c>
    </row>
    <row r="147" spans="1:3">
      <c r="A147" s="77"/>
      <c r="B147" s="93" t="s">
        <v>817</v>
      </c>
      <c r="C147" s="93" t="s">
        <v>1001</v>
      </c>
    </row>
    <row r="148" spans="1:3">
      <c r="A148" s="77"/>
      <c r="B148" s="93" t="s">
        <v>818</v>
      </c>
      <c r="C148" s="93" t="s">
        <v>300</v>
      </c>
    </row>
    <row r="149" spans="1:3">
      <c r="A149" s="77"/>
      <c r="B149" s="93" t="s">
        <v>819</v>
      </c>
      <c r="C149" s="93" t="s">
        <v>232</v>
      </c>
    </row>
    <row r="150" spans="1:3">
      <c r="A150" s="77"/>
      <c r="B150" s="93" t="s">
        <v>820</v>
      </c>
      <c r="C150" s="93" t="s">
        <v>233</v>
      </c>
    </row>
    <row r="151" spans="1:3">
      <c r="A151" s="77"/>
      <c r="B151" s="93" t="s">
        <v>821</v>
      </c>
      <c r="C151" s="93" t="s">
        <v>822</v>
      </c>
    </row>
    <row r="152" spans="1:3">
      <c r="A152" s="77"/>
      <c r="B152" s="93" t="s">
        <v>823</v>
      </c>
      <c r="C152" s="93" t="s">
        <v>519</v>
      </c>
    </row>
    <row r="153" spans="1:3">
      <c r="A153" s="77"/>
      <c r="B153" s="93" t="s">
        <v>824</v>
      </c>
      <c r="C153" s="93" t="s">
        <v>235</v>
      </c>
    </row>
    <row r="154" spans="1:3">
      <c r="A154" s="77"/>
      <c r="B154" s="93" t="s">
        <v>825</v>
      </c>
      <c r="C154" s="93" t="s">
        <v>245</v>
      </c>
    </row>
    <row r="155" spans="1:3">
      <c r="A155" s="77"/>
      <c r="B155" s="93" t="s">
        <v>826</v>
      </c>
      <c r="C155" s="93" t="s">
        <v>1002</v>
      </c>
    </row>
    <row r="156" spans="1:3">
      <c r="A156" s="77"/>
      <c r="B156" s="93" t="s">
        <v>827</v>
      </c>
      <c r="C156" s="93" t="s">
        <v>246</v>
      </c>
    </row>
    <row r="157" spans="1:3">
      <c r="A157" s="77"/>
      <c r="B157" s="93" t="s">
        <v>828</v>
      </c>
      <c r="C157" s="93" t="s">
        <v>247</v>
      </c>
    </row>
    <row r="158" spans="1:3">
      <c r="A158" s="77"/>
      <c r="B158" s="93" t="s">
        <v>829</v>
      </c>
      <c r="C158" s="93" t="s">
        <v>248</v>
      </c>
    </row>
    <row r="159" spans="1:3">
      <c r="A159" s="77"/>
      <c r="B159" s="93" t="s">
        <v>830</v>
      </c>
      <c r="C159" s="93" t="s">
        <v>659</v>
      </c>
    </row>
    <row r="160" spans="1:3">
      <c r="A160" s="77"/>
      <c r="B160" s="93" t="s">
        <v>831</v>
      </c>
      <c r="C160" s="93" t="s">
        <v>249</v>
      </c>
    </row>
    <row r="161" spans="1:3">
      <c r="A161" s="77"/>
      <c r="B161" s="93" t="s">
        <v>832</v>
      </c>
      <c r="C161" s="93" t="s">
        <v>243</v>
      </c>
    </row>
    <row r="162" spans="1:3">
      <c r="A162" s="77"/>
      <c r="B162" s="93" t="s">
        <v>833</v>
      </c>
      <c r="C162" s="93" t="s">
        <v>1003</v>
      </c>
    </row>
    <row r="163" spans="1:3">
      <c r="A163" s="77"/>
      <c r="B163" s="93" t="s">
        <v>834</v>
      </c>
      <c r="C163" s="93" t="s">
        <v>835</v>
      </c>
    </row>
    <row r="164" spans="1:3">
      <c r="A164" s="77"/>
      <c r="B164" s="93" t="s">
        <v>836</v>
      </c>
      <c r="C164" s="93" t="s">
        <v>232</v>
      </c>
    </row>
    <row r="165" spans="1:3">
      <c r="A165" s="77"/>
      <c r="B165" s="93" t="s">
        <v>837</v>
      </c>
      <c r="C165" s="93" t="s">
        <v>243</v>
      </c>
    </row>
    <row r="166" spans="1:3">
      <c r="A166" s="77"/>
      <c r="B166" s="93" t="s">
        <v>838</v>
      </c>
      <c r="C166" s="93" t="s">
        <v>1004</v>
      </c>
    </row>
    <row r="167" spans="1:3">
      <c r="A167" s="77"/>
      <c r="B167" s="93" t="s">
        <v>839</v>
      </c>
      <c r="C167" s="93" t="s">
        <v>250</v>
      </c>
    </row>
    <row r="168" spans="1:3">
      <c r="A168" s="77"/>
      <c r="B168" s="93" t="s">
        <v>840</v>
      </c>
      <c r="C168" s="93" t="s">
        <v>248</v>
      </c>
    </row>
    <row r="169" spans="1:3">
      <c r="A169" s="77"/>
      <c r="B169" s="93" t="s">
        <v>841</v>
      </c>
      <c r="C169" s="93" t="s">
        <v>247</v>
      </c>
    </row>
    <row r="170" spans="1:3">
      <c r="A170" s="77"/>
      <c r="B170" s="93" t="s">
        <v>842</v>
      </c>
      <c r="C170" s="93" t="s">
        <v>659</v>
      </c>
    </row>
    <row r="171" spans="1:3">
      <c r="A171" s="77"/>
      <c r="B171" s="93" t="s">
        <v>843</v>
      </c>
      <c r="C171" s="93" t="s">
        <v>249</v>
      </c>
    </row>
    <row r="172" spans="1:3">
      <c r="A172" s="77"/>
      <c r="B172" s="93" t="s">
        <v>844</v>
      </c>
      <c r="C172" s="93" t="s">
        <v>243</v>
      </c>
    </row>
    <row r="173" spans="1:3">
      <c r="A173" s="77"/>
      <c r="B173" s="93" t="s">
        <v>845</v>
      </c>
      <c r="C173" s="93" t="s">
        <v>1005</v>
      </c>
    </row>
    <row r="174" spans="1:3">
      <c r="A174" s="77"/>
      <c r="B174" s="93" t="s">
        <v>846</v>
      </c>
      <c r="C174" s="93" t="s">
        <v>252</v>
      </c>
    </row>
    <row r="175" spans="1:3">
      <c r="A175" s="77"/>
      <c r="B175" s="93" t="s">
        <v>847</v>
      </c>
      <c r="C175" s="93" t="s">
        <v>235</v>
      </c>
    </row>
    <row r="176" spans="1:3">
      <c r="A176" s="77"/>
      <c r="B176" s="93" t="s">
        <v>848</v>
      </c>
      <c r="C176" s="93" t="s">
        <v>849</v>
      </c>
    </row>
    <row r="177" spans="1:3">
      <c r="A177" s="77"/>
      <c r="B177" s="93" t="s">
        <v>850</v>
      </c>
      <c r="C177" s="93" t="s">
        <v>851</v>
      </c>
    </row>
    <row r="178" spans="1:3">
      <c r="A178" s="77"/>
      <c r="B178" s="93" t="s">
        <v>852</v>
      </c>
      <c r="C178" s="93" t="s">
        <v>300</v>
      </c>
    </row>
    <row r="179" spans="1:3">
      <c r="A179" s="77"/>
      <c r="B179" s="93" t="s">
        <v>853</v>
      </c>
      <c r="C179" s="93" t="s">
        <v>232</v>
      </c>
    </row>
    <row r="180" spans="1:3">
      <c r="A180" s="77"/>
      <c r="B180" s="93" t="s">
        <v>854</v>
      </c>
      <c r="C180" s="93" t="s">
        <v>241</v>
      </c>
    </row>
    <row r="181" spans="1:3">
      <c r="A181" s="77"/>
      <c r="B181" s="93" t="s">
        <v>855</v>
      </c>
      <c r="C181" s="93" t="s">
        <v>1006</v>
      </c>
    </row>
    <row r="182" spans="1:3">
      <c r="A182" s="77"/>
      <c r="B182" s="93" t="s">
        <v>1007</v>
      </c>
      <c r="C182" s="93" t="s">
        <v>1008</v>
      </c>
    </row>
    <row r="183" spans="1:3">
      <c r="A183" s="77"/>
      <c r="B183" s="93" t="s">
        <v>1009</v>
      </c>
      <c r="C183" s="93" t="s">
        <v>232</v>
      </c>
    </row>
    <row r="184" spans="1:3">
      <c r="A184" s="77"/>
      <c r="B184" s="93" t="s">
        <v>1010</v>
      </c>
      <c r="C184" s="93" t="s">
        <v>233</v>
      </c>
    </row>
    <row r="185" spans="1:3">
      <c r="A185" s="77"/>
      <c r="B185" s="93" t="s">
        <v>1011</v>
      </c>
      <c r="C185" s="93" t="s">
        <v>1012</v>
      </c>
    </row>
    <row r="186" spans="1:3">
      <c r="A186" s="77"/>
      <c r="B186" s="93" t="s">
        <v>1013</v>
      </c>
      <c r="C186" s="93" t="s">
        <v>1014</v>
      </c>
    </row>
    <row r="187" spans="1:3">
      <c r="A187" s="77"/>
      <c r="B187" s="93" t="s">
        <v>1015</v>
      </c>
      <c r="C187" s="93" t="s">
        <v>249</v>
      </c>
    </row>
    <row r="188" spans="1:3">
      <c r="A188" s="77"/>
      <c r="B188" s="93" t="s">
        <v>1016</v>
      </c>
      <c r="C188" s="93" t="s">
        <v>243</v>
      </c>
    </row>
    <row r="189" spans="1:3">
      <c r="A189" s="77"/>
      <c r="B189" s="93" t="s">
        <v>1017</v>
      </c>
      <c r="C189" s="93" t="s">
        <v>1018</v>
      </c>
    </row>
    <row r="190" spans="1:3">
      <c r="A190" s="77"/>
      <c r="B190" s="93" t="s">
        <v>1019</v>
      </c>
      <c r="C190" s="93" t="s">
        <v>1020</v>
      </c>
    </row>
    <row r="191" spans="1:3">
      <c r="A191" s="77"/>
      <c r="B191" s="93" t="s">
        <v>1021</v>
      </c>
      <c r="C191" s="93" t="s">
        <v>235</v>
      </c>
    </row>
    <row r="192" spans="1:3">
      <c r="A192" s="77"/>
      <c r="B192" s="93" t="s">
        <v>1022</v>
      </c>
      <c r="C192" s="93" t="s">
        <v>289</v>
      </c>
    </row>
    <row r="193" spans="1:3">
      <c r="A193" s="77"/>
      <c r="B193" s="93" t="s">
        <v>1023</v>
      </c>
      <c r="C193" s="93" t="s">
        <v>1024</v>
      </c>
    </row>
    <row r="194" spans="1:3">
      <c r="A194" s="77"/>
      <c r="B194" s="93" t="s">
        <v>1025</v>
      </c>
      <c r="C194" s="93" t="s">
        <v>980</v>
      </c>
    </row>
    <row r="195" spans="1:3">
      <c r="A195" s="77"/>
      <c r="B195" s="93" t="s">
        <v>1026</v>
      </c>
      <c r="C195" s="93" t="s">
        <v>292</v>
      </c>
    </row>
    <row r="196" spans="1:3">
      <c r="A196" s="77"/>
      <c r="B196" s="93" t="s">
        <v>1027</v>
      </c>
      <c r="C196" s="93" t="s">
        <v>235</v>
      </c>
    </row>
    <row r="197" spans="1:3">
      <c r="A197" s="77"/>
      <c r="B197" s="93" t="s">
        <v>1028</v>
      </c>
      <c r="C197" s="93" t="s">
        <v>298</v>
      </c>
    </row>
    <row r="198" spans="1:3">
      <c r="A198" s="77"/>
      <c r="B198" s="93" t="s">
        <v>1029</v>
      </c>
      <c r="C198" s="93" t="s">
        <v>981</v>
      </c>
    </row>
    <row r="199" spans="1:3">
      <c r="A199" s="77"/>
      <c r="B199" s="93" t="s">
        <v>1030</v>
      </c>
      <c r="C199" s="93" t="s">
        <v>299</v>
      </c>
    </row>
    <row r="200" spans="1:3">
      <c r="A200" s="77"/>
      <c r="B200" s="93" t="s">
        <v>1031</v>
      </c>
      <c r="C200" s="93" t="s">
        <v>982</v>
      </c>
    </row>
    <row r="201" spans="1:3">
      <c r="A201" s="77"/>
      <c r="B201" s="93" t="s">
        <v>1032</v>
      </c>
      <c r="C201" s="93" t="s">
        <v>983</v>
      </c>
    </row>
    <row r="202" spans="1:3">
      <c r="A202" s="77"/>
      <c r="B202" s="93" t="s">
        <v>1033</v>
      </c>
      <c r="C202" s="93" t="s">
        <v>524</v>
      </c>
    </row>
    <row r="203" spans="1:3">
      <c r="A203" s="77"/>
      <c r="B203" s="93" t="s">
        <v>1034</v>
      </c>
      <c r="C203" s="93" t="s">
        <v>296</v>
      </c>
    </row>
    <row r="204" spans="1:3">
      <c r="A204" s="77"/>
      <c r="B204" s="93" t="s">
        <v>1035</v>
      </c>
      <c r="C204" s="93" t="s">
        <v>984</v>
      </c>
    </row>
    <row r="205" spans="1:3">
      <c r="A205" s="77"/>
      <c r="B205" s="93" t="s">
        <v>1036</v>
      </c>
      <c r="C205" s="93" t="s">
        <v>1008</v>
      </c>
    </row>
    <row r="206" spans="1:3">
      <c r="A206" s="77"/>
      <c r="B206" s="93" t="s">
        <v>1037</v>
      </c>
      <c r="C206" s="93" t="s">
        <v>232</v>
      </c>
    </row>
    <row r="207" spans="1:3">
      <c r="A207" s="77"/>
      <c r="B207" s="93" t="s">
        <v>1038</v>
      </c>
      <c r="C207" s="93" t="s">
        <v>241</v>
      </c>
    </row>
    <row r="208" spans="1:3">
      <c r="A208" s="77"/>
      <c r="B208" s="93" t="s">
        <v>1039</v>
      </c>
      <c r="C208" s="93" t="s">
        <v>1040</v>
      </c>
    </row>
    <row r="209" spans="1:3">
      <c r="A209" s="77"/>
      <c r="B209" s="93" t="s">
        <v>1041</v>
      </c>
      <c r="C209" s="93" t="s">
        <v>84</v>
      </c>
    </row>
    <row r="210" spans="1:3">
      <c r="A210" s="77"/>
      <c r="B210" s="93" t="s">
        <v>1042</v>
      </c>
      <c r="C210" s="93" t="s">
        <v>1</v>
      </c>
    </row>
    <row r="211" spans="1:3">
      <c r="A211" s="77"/>
      <c r="B211" s="93" t="s">
        <v>1043</v>
      </c>
      <c r="C211" s="93" t="s">
        <v>84</v>
      </c>
    </row>
    <row r="212" spans="1:3">
      <c r="A212" s="77"/>
      <c r="B212" s="93" t="s">
        <v>1044</v>
      </c>
      <c r="C212" s="93" t="s">
        <v>1045</v>
      </c>
    </row>
    <row r="213" spans="1:3">
      <c r="A213" s="77"/>
      <c r="B213" s="93" t="s">
        <v>1046</v>
      </c>
      <c r="C213" s="93" t="s">
        <v>235</v>
      </c>
    </row>
    <row r="214" spans="1:3">
      <c r="A214" s="77"/>
      <c r="B214" s="93"/>
      <c r="C214" s="93"/>
    </row>
    <row r="215" spans="1:3">
      <c r="A215" s="77"/>
      <c r="B215" s="93"/>
      <c r="C215" s="93"/>
    </row>
    <row r="216" spans="1:3">
      <c r="A216" s="77"/>
      <c r="B216" s="93"/>
      <c r="C216" s="93"/>
    </row>
    <row r="217" spans="1:3">
      <c r="A217" s="77"/>
      <c r="B217" s="93"/>
      <c r="C217" s="93"/>
    </row>
    <row r="218" spans="1:3">
      <c r="A218" s="77"/>
      <c r="B218" s="93"/>
      <c r="C218" s="93"/>
    </row>
    <row r="219" spans="1:3">
      <c r="A219" s="77"/>
      <c r="B219" s="93"/>
      <c r="C219" s="93"/>
    </row>
    <row r="220" spans="1:3">
      <c r="A220" s="77"/>
      <c r="B220" s="93"/>
      <c r="C220" s="93"/>
    </row>
    <row r="221" spans="1:3">
      <c r="A221" s="77"/>
      <c r="B221" s="93"/>
      <c r="C221" s="93"/>
    </row>
    <row r="222" spans="1:3">
      <c r="A222" s="77"/>
      <c r="B222" s="93"/>
      <c r="C222" s="93"/>
    </row>
    <row r="223" spans="1:3">
      <c r="A223" s="77"/>
      <c r="B223" s="93"/>
      <c r="C223" s="93"/>
    </row>
    <row r="224" spans="1:3">
      <c r="A224" s="77"/>
      <c r="B224" s="93"/>
      <c r="C224" s="93"/>
    </row>
    <row r="225" spans="1:3">
      <c r="A225" s="77"/>
      <c r="B225" s="93"/>
      <c r="C225" s="93"/>
    </row>
    <row r="226" spans="1:3">
      <c r="A226" s="77"/>
      <c r="B226" s="93"/>
      <c r="C226" s="93"/>
    </row>
    <row r="227" spans="1:3">
      <c r="A227" s="77"/>
      <c r="B227" s="93"/>
      <c r="C227" s="93"/>
    </row>
    <row r="228" spans="1:3">
      <c r="A228" s="77"/>
      <c r="B228" s="93"/>
      <c r="C228" s="93"/>
    </row>
    <row r="229" spans="1:3">
      <c r="A229" s="77"/>
      <c r="B229" s="93"/>
      <c r="C229" s="93"/>
    </row>
    <row r="230" spans="1:3">
      <c r="A230" s="77"/>
      <c r="B230" s="93"/>
      <c r="C230" s="93"/>
    </row>
    <row r="231" spans="1:3">
      <c r="A231" s="77"/>
      <c r="B231" s="93"/>
      <c r="C231" s="93"/>
    </row>
    <row r="232" spans="1:3">
      <c r="A232" s="77"/>
      <c r="B232" s="93"/>
      <c r="C232" s="93"/>
    </row>
    <row r="233" spans="1:3">
      <c r="A233" s="77"/>
      <c r="B233" s="93"/>
      <c r="C233" s="93"/>
    </row>
    <row r="234" spans="1:3">
      <c r="A234" s="77"/>
      <c r="B234" s="93"/>
      <c r="C234" s="93"/>
    </row>
    <row r="235" spans="1:3">
      <c r="A235" s="77"/>
      <c r="B235" s="93"/>
      <c r="C235" s="93"/>
    </row>
    <row r="236" spans="1:3">
      <c r="A236" s="77"/>
      <c r="B236" s="93"/>
      <c r="C236" s="93"/>
    </row>
    <row r="237" spans="1:3">
      <c r="A237" s="77"/>
      <c r="B237" s="93"/>
      <c r="C237" s="93"/>
    </row>
    <row r="238" spans="1:3">
      <c r="A238" s="77"/>
      <c r="B238" s="93"/>
      <c r="C238" s="93"/>
    </row>
    <row r="239" spans="1:3">
      <c r="A239" s="77"/>
      <c r="B239" s="93"/>
      <c r="C239" s="93"/>
    </row>
    <row r="240" spans="1:3">
      <c r="A240" s="77"/>
      <c r="B240" s="93"/>
      <c r="C240" s="93"/>
    </row>
    <row r="241" spans="1:3">
      <c r="A241" s="77"/>
      <c r="B241" s="93"/>
      <c r="C241" s="93"/>
    </row>
    <row r="242" spans="1:3">
      <c r="A242" s="77"/>
      <c r="B242" s="93"/>
      <c r="C242" s="93"/>
    </row>
    <row r="243" spans="1:3">
      <c r="A243" s="77"/>
      <c r="B243" s="93"/>
      <c r="C243" s="93"/>
    </row>
    <row r="244" spans="1:3">
      <c r="A244" s="77"/>
      <c r="B244" s="93"/>
      <c r="C244" s="93"/>
    </row>
    <row r="245" spans="1:3">
      <c r="A245" s="77"/>
      <c r="B245" s="93"/>
      <c r="C245" s="93"/>
    </row>
    <row r="246" spans="1:3">
      <c r="A246" s="77"/>
      <c r="B246" s="93"/>
      <c r="C246" s="93"/>
    </row>
    <row r="247" spans="1:3">
      <c r="A247" s="77"/>
      <c r="B247" s="93"/>
      <c r="C247" s="93"/>
    </row>
    <row r="248" spans="1:3">
      <c r="A248" s="77"/>
      <c r="B248" s="93"/>
      <c r="C248" s="93"/>
    </row>
    <row r="249" spans="1:3">
      <c r="A249" s="77"/>
      <c r="B249" s="93"/>
      <c r="C249" s="93"/>
    </row>
    <row r="250" spans="1:3">
      <c r="A250" s="77"/>
      <c r="B250" s="93"/>
      <c r="C250" s="93"/>
    </row>
    <row r="251" spans="1:3">
      <c r="A251" s="77"/>
      <c r="B251" s="93"/>
      <c r="C251" s="93"/>
    </row>
    <row r="252" spans="1:3">
      <c r="A252" s="77"/>
      <c r="B252" s="93"/>
      <c r="C252" s="93"/>
    </row>
    <row r="253" spans="1:3">
      <c r="A253" s="77"/>
      <c r="B253" s="93"/>
      <c r="C253" s="93"/>
    </row>
    <row r="254" spans="1:3">
      <c r="A254" s="77"/>
      <c r="B254" s="93"/>
      <c r="C254" s="93"/>
    </row>
    <row r="255" spans="1:3">
      <c r="A255" s="77"/>
      <c r="B255" s="93"/>
      <c r="C255" s="93"/>
    </row>
    <row r="256" spans="1:3">
      <c r="A256" s="77"/>
      <c r="B256" s="93"/>
      <c r="C256" s="93"/>
    </row>
    <row r="257" spans="1:3">
      <c r="A257" s="77"/>
      <c r="B257" s="93"/>
      <c r="C257" s="93"/>
    </row>
    <row r="258" spans="1:3">
      <c r="A258" s="77"/>
      <c r="B258" s="93"/>
      <c r="C258" s="93"/>
    </row>
    <row r="259" spans="1:3">
      <c r="A259" s="77"/>
      <c r="B259" s="93"/>
      <c r="C259" s="93"/>
    </row>
    <row r="260" spans="1:3">
      <c r="A260" s="77"/>
      <c r="B260" s="93"/>
      <c r="C260" s="93"/>
    </row>
    <row r="261" spans="1:3">
      <c r="A261" s="77"/>
      <c r="B261" s="93"/>
      <c r="C261" s="93"/>
    </row>
    <row r="262" spans="1:3">
      <c r="A262" s="77"/>
      <c r="B262" s="93"/>
      <c r="C262" s="93"/>
    </row>
    <row r="263" spans="1:3">
      <c r="A263" s="77"/>
      <c r="B263" s="93"/>
      <c r="C263" s="93"/>
    </row>
    <row r="264" spans="1:3">
      <c r="A264" s="77"/>
      <c r="B264" s="93"/>
      <c r="C264" s="93"/>
    </row>
    <row r="265" spans="1:3">
      <c r="A265" s="77"/>
      <c r="B265" s="93"/>
      <c r="C265" s="93"/>
    </row>
    <row r="266" spans="1:3">
      <c r="A266" s="77"/>
      <c r="B266" s="93"/>
      <c r="C266" s="93"/>
    </row>
    <row r="267" spans="1:3">
      <c r="A267" s="77"/>
      <c r="B267" s="93"/>
      <c r="C267" s="93"/>
    </row>
    <row r="268" spans="1:3">
      <c r="A268" s="77"/>
      <c r="B268" s="93"/>
      <c r="C268" s="93"/>
    </row>
    <row r="269" spans="1:3">
      <c r="A269" s="77"/>
      <c r="B269" s="93"/>
      <c r="C269" s="93"/>
    </row>
    <row r="270" spans="1:3">
      <c r="A270" s="77"/>
      <c r="B270" s="93"/>
      <c r="C270" s="93"/>
    </row>
    <row r="271" spans="1:3">
      <c r="A271" s="77"/>
      <c r="B271" s="93"/>
      <c r="C271" s="93"/>
    </row>
    <row r="272" spans="1:3">
      <c r="A272" s="77"/>
      <c r="B272" s="93"/>
      <c r="C272" s="93"/>
    </row>
    <row r="273" spans="1:3">
      <c r="A273" s="77"/>
      <c r="B273" s="93"/>
      <c r="C273" s="93"/>
    </row>
    <row r="274" spans="1:3">
      <c r="A274" s="77"/>
      <c r="B274" s="93"/>
      <c r="C274" s="93"/>
    </row>
    <row r="275" spans="1:3">
      <c r="A275" s="77"/>
      <c r="B275" s="93"/>
      <c r="C275" s="93"/>
    </row>
    <row r="276" spans="1:3">
      <c r="A276" s="77"/>
      <c r="B276" s="93"/>
      <c r="C276" s="93"/>
    </row>
    <row r="277" spans="1:3">
      <c r="A277" s="77"/>
      <c r="B277" s="93"/>
      <c r="C277" s="93"/>
    </row>
    <row r="278" spans="1:3">
      <c r="A278" s="77"/>
      <c r="B278" s="93"/>
      <c r="C278" s="93"/>
    </row>
    <row r="279" spans="1:3">
      <c r="A279" s="77"/>
      <c r="B279" s="93"/>
      <c r="C279" s="93"/>
    </row>
    <row r="280" spans="1:3">
      <c r="A280" s="77"/>
    </row>
    <row r="281" spans="1:3">
      <c r="A281" s="77"/>
    </row>
    <row r="282" spans="1:3">
      <c r="A282" s="77"/>
    </row>
    <row r="283" spans="1:3">
      <c r="A283" s="77"/>
    </row>
    <row r="284" spans="1:3">
      <c r="A284" s="77"/>
    </row>
    <row r="285" spans="1:3">
      <c r="A285" s="77"/>
    </row>
    <row r="286" spans="1:3">
      <c r="A286" s="77"/>
    </row>
    <row r="287" spans="1:3">
      <c r="A287" s="77"/>
    </row>
    <row r="288" spans="1:3">
      <c r="A288" s="77"/>
    </row>
    <row r="289" spans="1:1">
      <c r="A289" s="77"/>
    </row>
    <row r="290" spans="1:1">
      <c r="A290" s="77"/>
    </row>
    <row r="291" spans="1:1">
      <c r="A291" s="77"/>
    </row>
    <row r="292" spans="1:1">
      <c r="A292" s="77"/>
    </row>
    <row r="293" spans="1:1">
      <c r="A293" s="77"/>
    </row>
    <row r="294" spans="1:1">
      <c r="A294" s="77"/>
    </row>
    <row r="295" spans="1:1">
      <c r="A295" s="77"/>
    </row>
    <row r="296" spans="1:1">
      <c r="A296" s="77"/>
    </row>
    <row r="297" spans="1:1">
      <c r="A297" s="77"/>
    </row>
    <row r="298" spans="1:1">
      <c r="A298" s="77"/>
    </row>
    <row r="299" spans="1:1">
      <c r="A299" s="77"/>
    </row>
    <row r="300" spans="1:1">
      <c r="A300" s="77"/>
    </row>
    <row r="301" spans="1:1">
      <c r="A301" s="77"/>
    </row>
    <row r="302" spans="1:1">
      <c r="A302" s="77"/>
    </row>
    <row r="303" spans="1:1">
      <c r="A303" s="77"/>
    </row>
    <row r="304" spans="1:1">
      <c r="A304" s="77"/>
    </row>
    <row r="305" spans="1:1">
      <c r="A305" s="77"/>
    </row>
    <row r="306" spans="1:1">
      <c r="A306" s="77"/>
    </row>
    <row r="307" spans="1:1">
      <c r="A307" s="77"/>
    </row>
    <row r="308" spans="1:1">
      <c r="A308" s="77"/>
    </row>
    <row r="309" spans="1:1">
      <c r="A309" s="77"/>
    </row>
    <row r="310" spans="1:1">
      <c r="A310" s="77"/>
    </row>
    <row r="311" spans="1:1">
      <c r="A311" s="77"/>
    </row>
    <row r="312" spans="1:1">
      <c r="A312" s="77"/>
    </row>
    <row r="313" spans="1:1">
      <c r="A313" s="77"/>
    </row>
    <row r="314" spans="1:1">
      <c r="A314" s="77"/>
    </row>
    <row r="315" spans="1:1">
      <c r="A315" s="77"/>
    </row>
    <row r="316" spans="1:1">
      <c r="A316" s="77"/>
    </row>
    <row r="317" spans="1:1">
      <c r="A317" s="77"/>
    </row>
    <row r="318" spans="1:1">
      <c r="A318" s="77"/>
    </row>
    <row r="319" spans="1:1">
      <c r="A319" s="77"/>
    </row>
    <row r="320" spans="1:1">
      <c r="A320" s="77"/>
    </row>
    <row r="321" spans="1:1">
      <c r="A321" s="77"/>
    </row>
    <row r="322" spans="1:1">
      <c r="A322" s="77"/>
    </row>
    <row r="323" spans="1:1">
      <c r="A323" s="77"/>
    </row>
    <row r="324" spans="1:1">
      <c r="A324" s="77"/>
    </row>
    <row r="325" spans="1:1">
      <c r="A325" s="77"/>
    </row>
    <row r="326" spans="1:1">
      <c r="A326" s="77"/>
    </row>
    <row r="327" spans="1:1">
      <c r="A327" s="77"/>
    </row>
    <row r="328" spans="1:1">
      <c r="A328" s="77"/>
    </row>
    <row r="329" spans="1:1">
      <c r="A329" s="77"/>
    </row>
    <row r="330" spans="1:1">
      <c r="A330" s="77"/>
    </row>
    <row r="331" spans="1:1">
      <c r="A331" s="77"/>
    </row>
    <row r="332" spans="1:1">
      <c r="A332" s="77"/>
    </row>
    <row r="333" spans="1:1">
      <c r="A333" s="77"/>
    </row>
    <row r="334" spans="1:1">
      <c r="A334" s="77"/>
    </row>
    <row r="335" spans="1:1">
      <c r="A335" s="77"/>
    </row>
    <row r="336" spans="1:1">
      <c r="A336" s="77"/>
    </row>
    <row r="337" spans="1:1">
      <c r="A337" s="77"/>
    </row>
    <row r="338" spans="1:1">
      <c r="A338" s="77"/>
    </row>
    <row r="339" spans="1:1">
      <c r="A339" s="77"/>
    </row>
    <row r="340" spans="1:1">
      <c r="A340" s="77"/>
    </row>
    <row r="341" spans="1:1">
      <c r="A341" s="77"/>
    </row>
    <row r="342" spans="1:1">
      <c r="A342" s="77"/>
    </row>
    <row r="343" spans="1:1">
      <c r="A343" s="77"/>
    </row>
    <row r="344" spans="1:1">
      <c r="A344" s="77"/>
    </row>
    <row r="345" spans="1:1">
      <c r="A345" s="77"/>
    </row>
    <row r="346" spans="1:1">
      <c r="A346" s="77"/>
    </row>
    <row r="347" spans="1:1">
      <c r="A347" s="77"/>
    </row>
    <row r="348" spans="1:1">
      <c r="A348" s="77"/>
    </row>
    <row r="349" spans="1:1">
      <c r="A349" s="77"/>
    </row>
    <row r="350" spans="1:1">
      <c r="A350" s="77"/>
    </row>
    <row r="351" spans="1:1">
      <c r="A351" s="77"/>
    </row>
    <row r="352" spans="1:1">
      <c r="A352" s="77"/>
    </row>
    <row r="353" spans="1:1">
      <c r="A353" s="77"/>
    </row>
    <row r="354" spans="1:1">
      <c r="A354" s="77"/>
    </row>
    <row r="355" spans="1:1">
      <c r="A355" s="77"/>
    </row>
    <row r="356" spans="1:1">
      <c r="A356" s="77"/>
    </row>
    <row r="357" spans="1:1">
      <c r="A357" s="77"/>
    </row>
    <row r="358" spans="1:1">
      <c r="A358" s="77"/>
    </row>
    <row r="359" spans="1:1">
      <c r="A359" s="77"/>
    </row>
    <row r="360" spans="1:1">
      <c r="A360" s="77"/>
    </row>
    <row r="361" spans="1:1">
      <c r="A361" s="77"/>
    </row>
    <row r="362" spans="1:1">
      <c r="A362" s="77"/>
    </row>
    <row r="363" spans="1:1">
      <c r="A363" s="77"/>
    </row>
    <row r="364" spans="1:1">
      <c r="A364" s="77"/>
    </row>
    <row r="365" spans="1:1">
      <c r="A365" s="77"/>
    </row>
    <row r="366" spans="1:1">
      <c r="A366" s="77"/>
    </row>
    <row r="367" spans="1:1">
      <c r="A367" s="77"/>
    </row>
    <row r="368" spans="1:1">
      <c r="A368" s="77"/>
    </row>
    <row r="369" spans="1:1">
      <c r="A369" s="77"/>
    </row>
    <row r="370" spans="1:1">
      <c r="A370" s="77"/>
    </row>
    <row r="371" spans="1:1">
      <c r="A371" s="77"/>
    </row>
    <row r="372" spans="1:1">
      <c r="A372" s="77"/>
    </row>
    <row r="373" spans="1:1">
      <c r="A373" s="77"/>
    </row>
    <row r="374" spans="1:1">
      <c r="A374" s="77"/>
    </row>
    <row r="375" spans="1:1">
      <c r="A375" s="77"/>
    </row>
    <row r="376" spans="1:1">
      <c r="A376" s="77"/>
    </row>
    <row r="377" spans="1:1">
      <c r="A377" s="77"/>
    </row>
    <row r="378" spans="1:1">
      <c r="A378" s="77"/>
    </row>
    <row r="379" spans="1:1">
      <c r="A379" s="77"/>
    </row>
    <row r="380" spans="1:1">
      <c r="A380" s="77"/>
    </row>
    <row r="381" spans="1:1">
      <c r="A381" s="77"/>
    </row>
    <row r="382" spans="1:1">
      <c r="A382" s="77"/>
    </row>
    <row r="383" spans="1:1">
      <c r="A383" s="77"/>
    </row>
    <row r="384" spans="1:1">
      <c r="A384" s="77"/>
    </row>
    <row r="385" spans="1:1">
      <c r="A385" s="77"/>
    </row>
    <row r="386" spans="1:1">
      <c r="A386" s="77"/>
    </row>
    <row r="387" spans="1:1">
      <c r="A387" s="77"/>
    </row>
    <row r="388" spans="1:1">
      <c r="A388" s="77"/>
    </row>
    <row r="389" spans="1:1">
      <c r="A389" s="77"/>
    </row>
    <row r="390" spans="1:1">
      <c r="A390" s="77"/>
    </row>
    <row r="391" spans="1:1">
      <c r="A391" s="77"/>
    </row>
    <row r="392" spans="1:1">
      <c r="A392" s="77"/>
    </row>
    <row r="393" spans="1:1">
      <c r="A393" s="77"/>
    </row>
    <row r="394" spans="1:1">
      <c r="A394" s="77"/>
    </row>
    <row r="395" spans="1:1">
      <c r="A395" s="77"/>
    </row>
    <row r="396" spans="1:1">
      <c r="A396" s="77"/>
    </row>
    <row r="397" spans="1:1">
      <c r="A397" s="77"/>
    </row>
    <row r="398" spans="1:1">
      <c r="A398" s="77"/>
    </row>
    <row r="399" spans="1:1">
      <c r="A399" s="77"/>
    </row>
    <row r="400" spans="1:1">
      <c r="A400" s="77"/>
    </row>
    <row r="401" spans="1:1">
      <c r="A401" s="77"/>
    </row>
    <row r="402" spans="1:1">
      <c r="A402" s="77"/>
    </row>
    <row r="403" spans="1:1">
      <c r="A403" s="77"/>
    </row>
    <row r="404" spans="1:1">
      <c r="A404" s="77"/>
    </row>
    <row r="405" spans="1:1">
      <c r="A405" s="77"/>
    </row>
    <row r="406" spans="1:1">
      <c r="A406" s="77"/>
    </row>
    <row r="407" spans="1:1">
      <c r="A407" s="77"/>
    </row>
    <row r="408" spans="1:1">
      <c r="A408" s="77"/>
    </row>
    <row r="409" spans="1:1">
      <c r="A409" s="77"/>
    </row>
    <row r="410" spans="1:1">
      <c r="A410" s="77"/>
    </row>
    <row r="411" spans="1:1">
      <c r="A411" s="77"/>
    </row>
    <row r="412" spans="1:1">
      <c r="A412" s="77"/>
    </row>
    <row r="413" spans="1:1">
      <c r="A413" s="77"/>
    </row>
    <row r="414" spans="1:1">
      <c r="A414" s="77"/>
    </row>
    <row r="415" spans="1:1">
      <c r="A415" s="77"/>
    </row>
    <row r="416" spans="1:1">
      <c r="A416" s="77"/>
    </row>
    <row r="417" spans="1:1">
      <c r="A417" s="77"/>
    </row>
    <row r="418" spans="1:1">
      <c r="A418" s="77"/>
    </row>
    <row r="419" spans="1:1">
      <c r="A419" s="77"/>
    </row>
    <row r="420" spans="1:1">
      <c r="A420" s="77"/>
    </row>
    <row r="421" spans="1:1">
      <c r="A421" s="77"/>
    </row>
    <row r="422" spans="1:1">
      <c r="A422" s="77"/>
    </row>
    <row r="423" spans="1:1">
      <c r="A423" s="77"/>
    </row>
    <row r="424" spans="1:1">
      <c r="A424" s="77"/>
    </row>
    <row r="425" spans="1:1">
      <c r="A425" s="77"/>
    </row>
    <row r="426" spans="1:1">
      <c r="A426" s="77"/>
    </row>
    <row r="427" spans="1:1">
      <c r="A427" s="77"/>
    </row>
    <row r="428" spans="1:1">
      <c r="A428" s="77"/>
    </row>
    <row r="429" spans="1:1">
      <c r="A429" s="77"/>
    </row>
    <row r="430" spans="1:1">
      <c r="A430" s="77"/>
    </row>
    <row r="431" spans="1:1">
      <c r="A431" s="77"/>
    </row>
    <row r="432" spans="1:1">
      <c r="A432" s="77"/>
    </row>
    <row r="433" spans="1:1">
      <c r="A433" s="77"/>
    </row>
    <row r="434" spans="1:1">
      <c r="A434" s="77"/>
    </row>
    <row r="435" spans="1:1">
      <c r="A435" s="77"/>
    </row>
    <row r="436" spans="1:1">
      <c r="A436" s="77"/>
    </row>
    <row r="437" spans="1:1">
      <c r="A437" s="77"/>
    </row>
    <row r="438" spans="1:1">
      <c r="A438" s="77"/>
    </row>
    <row r="439" spans="1:1">
      <c r="A439" s="77"/>
    </row>
    <row r="440" spans="1:1">
      <c r="A440" s="77"/>
    </row>
    <row r="441" spans="1:1">
      <c r="A441" s="77"/>
    </row>
    <row r="442" spans="1:1">
      <c r="A442" s="77"/>
    </row>
    <row r="443" spans="1:1">
      <c r="A443" s="77"/>
    </row>
    <row r="444" spans="1:1">
      <c r="A444" s="77"/>
    </row>
    <row r="445" spans="1:1">
      <c r="A445" s="77"/>
    </row>
    <row r="446" spans="1:1">
      <c r="A446" s="77"/>
    </row>
    <row r="447" spans="1:1">
      <c r="A447" s="77"/>
    </row>
    <row r="448" spans="1:1">
      <c r="A448" s="77"/>
    </row>
    <row r="449" spans="1:1">
      <c r="A449" s="77"/>
    </row>
    <row r="450" spans="1:1">
      <c r="A450" s="77"/>
    </row>
    <row r="451" spans="1:1">
      <c r="A451" s="77"/>
    </row>
    <row r="452" spans="1:1">
      <c r="A452" s="77"/>
    </row>
    <row r="453" spans="1:1">
      <c r="A453" s="77"/>
    </row>
    <row r="454" spans="1:1">
      <c r="A454" s="77"/>
    </row>
    <row r="455" spans="1:1">
      <c r="A455" s="77"/>
    </row>
    <row r="456" spans="1:1">
      <c r="A456" s="77"/>
    </row>
    <row r="457" spans="1:1">
      <c r="A457" s="77"/>
    </row>
    <row r="458" spans="1:1">
      <c r="A458" s="77"/>
    </row>
    <row r="459" spans="1:1">
      <c r="A459" s="77"/>
    </row>
    <row r="460" spans="1:1">
      <c r="A460" s="77"/>
    </row>
    <row r="461" spans="1:1">
      <c r="A461" s="77"/>
    </row>
    <row r="462" spans="1:1">
      <c r="A462" s="77"/>
    </row>
    <row r="463" spans="1:1">
      <c r="A463" s="77"/>
    </row>
    <row r="464" spans="1:1">
      <c r="A464" s="77"/>
    </row>
    <row r="465" spans="1:1">
      <c r="A465" s="77"/>
    </row>
    <row r="466" spans="1:1">
      <c r="A466" s="77"/>
    </row>
    <row r="467" spans="1:1">
      <c r="A467" s="77"/>
    </row>
    <row r="468" spans="1:1">
      <c r="A468" s="77"/>
    </row>
    <row r="469" spans="1:1">
      <c r="A469" s="77"/>
    </row>
    <row r="470" spans="1:1">
      <c r="A470" s="77"/>
    </row>
    <row r="471" spans="1:1">
      <c r="A471" s="77"/>
    </row>
    <row r="472" spans="1:1">
      <c r="A472" s="77"/>
    </row>
    <row r="473" spans="1:1">
      <c r="A473" s="77"/>
    </row>
    <row r="474" spans="1:1">
      <c r="A474" s="77"/>
    </row>
    <row r="475" spans="1:1">
      <c r="A475" s="77"/>
    </row>
    <row r="476" spans="1:1">
      <c r="A476" s="77"/>
    </row>
    <row r="477" spans="1:1">
      <c r="A477" s="77"/>
    </row>
    <row r="478" spans="1:1">
      <c r="A478" s="77"/>
    </row>
    <row r="479" spans="1:1">
      <c r="A479" s="77"/>
    </row>
    <row r="480" spans="1:1">
      <c r="A480" s="77"/>
    </row>
    <row r="481" spans="1:1">
      <c r="A481" s="77"/>
    </row>
    <row r="482" spans="1:1">
      <c r="A482" s="77"/>
    </row>
    <row r="483" spans="1:1">
      <c r="A483" s="77"/>
    </row>
    <row r="484" spans="1:1">
      <c r="A484" s="77"/>
    </row>
    <row r="485" spans="1:1">
      <c r="A485" s="77"/>
    </row>
    <row r="486" spans="1:1">
      <c r="A486" s="77"/>
    </row>
    <row r="487" spans="1:1">
      <c r="A487" s="77"/>
    </row>
    <row r="488" spans="1:1">
      <c r="A488" s="77"/>
    </row>
    <row r="489" spans="1:1">
      <c r="A489" s="77"/>
    </row>
    <row r="490" spans="1:1">
      <c r="A490" s="77"/>
    </row>
    <row r="491" spans="1:1">
      <c r="A491" s="77"/>
    </row>
    <row r="492" spans="1:1">
      <c r="A492" s="77"/>
    </row>
    <row r="493" spans="1:1">
      <c r="A493" s="77"/>
    </row>
    <row r="494" spans="1:1">
      <c r="A494" s="77"/>
    </row>
    <row r="495" spans="1:1">
      <c r="A495" s="77"/>
    </row>
    <row r="496" spans="1:1">
      <c r="A496" s="77"/>
    </row>
    <row r="497" spans="1:1">
      <c r="A497" s="77"/>
    </row>
    <row r="498" spans="1:1">
      <c r="A498" s="77"/>
    </row>
    <row r="499" spans="1:1">
      <c r="A499" s="77"/>
    </row>
    <row r="500" spans="1:1">
      <c r="A500" s="77"/>
    </row>
    <row r="501" spans="1:1">
      <c r="A501" s="77"/>
    </row>
    <row r="502" spans="1:1">
      <c r="A502" s="77"/>
    </row>
    <row r="503" spans="1:1">
      <c r="A503" s="77"/>
    </row>
    <row r="504" spans="1:1">
      <c r="A504" s="77"/>
    </row>
    <row r="505" spans="1:1">
      <c r="A505" s="77"/>
    </row>
    <row r="506" spans="1:1">
      <c r="A506" s="77"/>
    </row>
    <row r="507" spans="1:1">
      <c r="A507" s="77"/>
    </row>
    <row r="508" spans="1:1">
      <c r="A508" s="77"/>
    </row>
    <row r="509" spans="1:1">
      <c r="A509" s="77"/>
    </row>
    <row r="510" spans="1:1">
      <c r="A510" s="77"/>
    </row>
    <row r="511" spans="1:1">
      <c r="A511" s="77"/>
    </row>
    <row r="512" spans="1:1">
      <c r="A512" s="77"/>
    </row>
    <row r="513" spans="1:1">
      <c r="A513" s="77"/>
    </row>
    <row r="514" spans="1:1">
      <c r="A514" s="77"/>
    </row>
    <row r="515" spans="1:1">
      <c r="A515" s="77"/>
    </row>
    <row r="516" spans="1:1">
      <c r="A516" s="77"/>
    </row>
    <row r="517" spans="1:1">
      <c r="A517" s="77"/>
    </row>
    <row r="518" spans="1:1">
      <c r="A518" s="77"/>
    </row>
    <row r="519" spans="1:1">
      <c r="A519" s="77"/>
    </row>
    <row r="520" spans="1:1">
      <c r="A520" s="77"/>
    </row>
    <row r="521" spans="1:1">
      <c r="A521" s="77"/>
    </row>
    <row r="522" spans="1:1">
      <c r="A522" s="77"/>
    </row>
    <row r="523" spans="1:1">
      <c r="A523" s="77"/>
    </row>
    <row r="524" spans="1:1">
      <c r="A524" s="77"/>
    </row>
    <row r="525" spans="1:1">
      <c r="A525" s="77"/>
    </row>
    <row r="526" spans="1:1">
      <c r="A526" s="77"/>
    </row>
    <row r="527" spans="1:1">
      <c r="A527" s="77"/>
    </row>
    <row r="528" spans="1:1">
      <c r="A528" s="77"/>
    </row>
    <row r="529" spans="1:1">
      <c r="A529" s="77"/>
    </row>
    <row r="530" spans="1:1">
      <c r="A530" s="77"/>
    </row>
    <row r="531" spans="1:1">
      <c r="A531" s="77"/>
    </row>
    <row r="532" spans="1:1">
      <c r="A532" s="77"/>
    </row>
    <row r="533" spans="1:1">
      <c r="A533" s="77"/>
    </row>
    <row r="534" spans="1:1">
      <c r="A534" s="77"/>
    </row>
    <row r="535" spans="1:1">
      <c r="A535" s="77"/>
    </row>
    <row r="536" spans="1:1">
      <c r="A536" s="77"/>
    </row>
    <row r="537" spans="1:1">
      <c r="A537" s="77"/>
    </row>
    <row r="538" spans="1:1">
      <c r="A538" s="77"/>
    </row>
    <row r="539" spans="1:1">
      <c r="A539" s="77"/>
    </row>
    <row r="540" spans="1:1">
      <c r="A540" s="77"/>
    </row>
    <row r="541" spans="1:1">
      <c r="A541" s="77"/>
    </row>
    <row r="542" spans="1:1">
      <c r="A542" s="77"/>
    </row>
    <row r="543" spans="1:1">
      <c r="A543" s="77"/>
    </row>
    <row r="544" spans="1:1">
      <c r="A544" s="77"/>
    </row>
    <row r="545" spans="1:1">
      <c r="A545" s="77"/>
    </row>
    <row r="546" spans="1:1">
      <c r="A546" s="77"/>
    </row>
    <row r="547" spans="1:1">
      <c r="A547" s="77"/>
    </row>
    <row r="548" spans="1:1">
      <c r="A548" s="77"/>
    </row>
    <row r="549" spans="1:1">
      <c r="A549" s="77"/>
    </row>
    <row r="550" spans="1:1">
      <c r="A550" s="77"/>
    </row>
    <row r="551" spans="1:1">
      <c r="A551" s="77"/>
    </row>
    <row r="552" spans="1:1">
      <c r="A552" s="77"/>
    </row>
    <row r="553" spans="1:1">
      <c r="A553" s="77"/>
    </row>
    <row r="554" spans="1:1">
      <c r="A554" s="77"/>
    </row>
    <row r="555" spans="1:1">
      <c r="A555" s="77"/>
    </row>
    <row r="556" spans="1:1">
      <c r="A556" s="77"/>
    </row>
    <row r="557" spans="1:1">
      <c r="A557" s="77"/>
    </row>
    <row r="558" spans="1:1">
      <c r="A558" s="77"/>
    </row>
    <row r="559" spans="1:1">
      <c r="A559" s="77"/>
    </row>
    <row r="560" spans="1:1">
      <c r="A560" s="77"/>
    </row>
    <row r="561" spans="1:1">
      <c r="A561" s="77"/>
    </row>
    <row r="562" spans="1:1">
      <c r="A562" s="77"/>
    </row>
    <row r="563" spans="1:1">
      <c r="A563" s="77"/>
    </row>
    <row r="564" spans="1:1">
      <c r="A564" s="77"/>
    </row>
    <row r="565" spans="1:1">
      <c r="A565" s="77"/>
    </row>
    <row r="566" spans="1:1">
      <c r="A566" s="77"/>
    </row>
    <row r="567" spans="1:1">
      <c r="A567" s="77"/>
    </row>
    <row r="568" spans="1:1">
      <c r="A568" s="77"/>
    </row>
    <row r="569" spans="1:1">
      <c r="A569" s="77"/>
    </row>
    <row r="570" spans="1:1">
      <c r="A570" s="77"/>
    </row>
    <row r="571" spans="1:1">
      <c r="A571" s="77"/>
    </row>
    <row r="572" spans="1:1">
      <c r="A572" s="77"/>
    </row>
    <row r="573" spans="1:1">
      <c r="A573" s="77"/>
    </row>
    <row r="574" spans="1:1">
      <c r="A574" s="77"/>
    </row>
    <row r="575" spans="1:1">
      <c r="A575" s="77"/>
    </row>
    <row r="576" spans="1:1">
      <c r="A576" s="77"/>
    </row>
    <row r="577" spans="1:1">
      <c r="A577" s="77"/>
    </row>
    <row r="578" spans="1:1">
      <c r="A578" s="77"/>
    </row>
    <row r="579" spans="1:1">
      <c r="A579" s="77"/>
    </row>
    <row r="580" spans="1:1">
      <c r="A580" s="77"/>
    </row>
    <row r="581" spans="1:1">
      <c r="A581" s="77"/>
    </row>
    <row r="582" spans="1:1">
      <c r="A582" s="77"/>
    </row>
    <row r="583" spans="1:1">
      <c r="A583" s="77"/>
    </row>
    <row r="584" spans="1:1">
      <c r="A584" s="77"/>
    </row>
    <row r="585" spans="1:1">
      <c r="A585" s="77"/>
    </row>
    <row r="586" spans="1:1">
      <c r="A586" s="77"/>
    </row>
    <row r="587" spans="1:1">
      <c r="A587" s="77"/>
    </row>
    <row r="588" spans="1:1">
      <c r="A588" s="77"/>
    </row>
    <row r="589" spans="1:1">
      <c r="A589" s="77"/>
    </row>
    <row r="590" spans="1:1">
      <c r="A590" s="77"/>
    </row>
    <row r="591" spans="1:1">
      <c r="A591" s="77"/>
    </row>
    <row r="592" spans="1:1">
      <c r="A592" s="77"/>
    </row>
    <row r="593" spans="1:1">
      <c r="A593" s="77"/>
    </row>
    <row r="594" spans="1:1">
      <c r="A594" s="77"/>
    </row>
    <row r="595" spans="1:1">
      <c r="A595" s="77"/>
    </row>
    <row r="596" spans="1:1">
      <c r="A596" s="77"/>
    </row>
    <row r="597" spans="1:1">
      <c r="A597" s="77"/>
    </row>
    <row r="598" spans="1:1">
      <c r="A598" s="77"/>
    </row>
    <row r="599" spans="1:1">
      <c r="A599" s="77"/>
    </row>
    <row r="600" spans="1:1">
      <c r="A600" s="77"/>
    </row>
    <row r="601" spans="1:1">
      <c r="A601" s="77"/>
    </row>
    <row r="602" spans="1:1">
      <c r="A602" s="77"/>
    </row>
    <row r="603" spans="1:1">
      <c r="A603" s="77"/>
    </row>
    <row r="604" spans="1:1">
      <c r="A604" s="77"/>
    </row>
    <row r="605" spans="1:1">
      <c r="A605" s="77"/>
    </row>
    <row r="606" spans="1:1">
      <c r="A606" s="77"/>
    </row>
    <row r="607" spans="1:1">
      <c r="A607" s="77"/>
    </row>
    <row r="608" spans="1:1">
      <c r="A608" s="77"/>
    </row>
    <row r="609" spans="1:1">
      <c r="A609" s="77"/>
    </row>
    <row r="610" spans="1:1">
      <c r="A610" s="77"/>
    </row>
    <row r="611" spans="1:1">
      <c r="A611" s="77"/>
    </row>
    <row r="612" spans="1:1">
      <c r="A612" s="77"/>
    </row>
    <row r="613" spans="1:1">
      <c r="A613" s="77"/>
    </row>
    <row r="614" spans="1:1">
      <c r="A614" s="77"/>
    </row>
    <row r="615" spans="1:1">
      <c r="A615" s="77"/>
    </row>
    <row r="616" spans="1:1">
      <c r="A616" s="77"/>
    </row>
    <row r="617" spans="1:1">
      <c r="A617" s="77"/>
    </row>
    <row r="618" spans="1:1">
      <c r="A618" s="77"/>
    </row>
    <row r="619" spans="1:1">
      <c r="A619" s="77"/>
    </row>
    <row r="620" spans="1:1">
      <c r="A620" s="77"/>
    </row>
    <row r="621" spans="1:1">
      <c r="A621" s="77"/>
    </row>
    <row r="622" spans="1:1">
      <c r="A622" s="77"/>
    </row>
    <row r="623" spans="1:1">
      <c r="A623" s="77"/>
    </row>
    <row r="624" spans="1:1">
      <c r="A624" s="77"/>
    </row>
    <row r="625" spans="1:1">
      <c r="A625" s="77"/>
    </row>
    <row r="626" spans="1:1">
      <c r="A626" s="77"/>
    </row>
    <row r="627" spans="1:1">
      <c r="A627" s="77"/>
    </row>
    <row r="628" spans="1:1">
      <c r="A628" s="77"/>
    </row>
    <row r="629" spans="1:1">
      <c r="A629" s="77"/>
    </row>
    <row r="630" spans="1:1">
      <c r="A630" s="77"/>
    </row>
    <row r="631" spans="1:1">
      <c r="A631" s="77"/>
    </row>
    <row r="632" spans="1:1">
      <c r="A632" s="77"/>
    </row>
    <row r="633" spans="1:1">
      <c r="A633" s="77"/>
    </row>
    <row r="634" spans="1:1">
      <c r="A634" s="77"/>
    </row>
    <row r="635" spans="1:1">
      <c r="A635" s="77"/>
    </row>
    <row r="636" spans="1:1">
      <c r="A636" s="77"/>
    </row>
    <row r="637" spans="1:1">
      <c r="A637" s="77"/>
    </row>
    <row r="638" spans="1:1">
      <c r="A638" s="77"/>
    </row>
    <row r="639" spans="1:1">
      <c r="A639" s="77"/>
    </row>
    <row r="640" spans="1:1">
      <c r="A640" s="77"/>
    </row>
    <row r="641" spans="1:1">
      <c r="A641" s="77"/>
    </row>
    <row r="642" spans="1:1">
      <c r="A642" s="77"/>
    </row>
    <row r="643" spans="1:1">
      <c r="A643" s="77"/>
    </row>
    <row r="644" spans="1:1">
      <c r="A644" s="77"/>
    </row>
    <row r="645" spans="1:1">
      <c r="A645" s="77"/>
    </row>
    <row r="646" spans="1:1">
      <c r="A646" s="77"/>
    </row>
    <row r="647" spans="1:1">
      <c r="A647" s="77"/>
    </row>
    <row r="648" spans="1:1">
      <c r="A648" s="77"/>
    </row>
    <row r="649" spans="1:1">
      <c r="A649" s="77"/>
    </row>
    <row r="650" spans="1:1">
      <c r="A650" s="77"/>
    </row>
    <row r="651" spans="1:1">
      <c r="A651" s="77"/>
    </row>
    <row r="652" spans="1:1">
      <c r="A652" s="77"/>
    </row>
    <row r="653" spans="1:1">
      <c r="A653" s="77"/>
    </row>
    <row r="654" spans="1:1">
      <c r="A654" s="77"/>
    </row>
    <row r="655" spans="1:1">
      <c r="A655" s="77"/>
    </row>
    <row r="656" spans="1:1">
      <c r="A656" s="77"/>
    </row>
    <row r="657" spans="1:1">
      <c r="A657" s="77"/>
    </row>
    <row r="658" spans="1:1">
      <c r="A658" s="77"/>
    </row>
    <row r="659" spans="1:1">
      <c r="A659" s="77"/>
    </row>
    <row r="660" spans="1:1">
      <c r="A660" s="77"/>
    </row>
    <row r="661" spans="1:1">
      <c r="A661" s="77"/>
    </row>
    <row r="662" spans="1:1">
      <c r="A662" s="77"/>
    </row>
    <row r="663" spans="1:1">
      <c r="A663" s="77"/>
    </row>
    <row r="664" spans="1:1">
      <c r="A664" s="77"/>
    </row>
    <row r="665" spans="1:1">
      <c r="A665" s="77"/>
    </row>
    <row r="666" spans="1:1">
      <c r="A666" s="77"/>
    </row>
    <row r="667" spans="1:1">
      <c r="A667" s="77"/>
    </row>
    <row r="668" spans="1:1">
      <c r="A668" s="77"/>
    </row>
    <row r="669" spans="1:1">
      <c r="A669" s="77"/>
    </row>
    <row r="670" spans="1:1">
      <c r="A670" s="77"/>
    </row>
    <row r="671" spans="1:1">
      <c r="A671" s="77"/>
    </row>
    <row r="672" spans="1:1">
      <c r="A672" s="77"/>
    </row>
    <row r="673" spans="1:1">
      <c r="A673" s="77"/>
    </row>
    <row r="674" spans="1:1">
      <c r="A674" s="77"/>
    </row>
    <row r="675" spans="1:1">
      <c r="A675" s="77"/>
    </row>
    <row r="676" spans="1:1">
      <c r="A676" s="77"/>
    </row>
    <row r="677" spans="1:1">
      <c r="A677" s="77"/>
    </row>
    <row r="678" spans="1:1">
      <c r="A678" s="77"/>
    </row>
    <row r="679" spans="1:1">
      <c r="A679" s="77"/>
    </row>
    <row r="680" spans="1:1">
      <c r="A680" s="77"/>
    </row>
    <row r="681" spans="1:1">
      <c r="A681" s="77"/>
    </row>
    <row r="682" spans="1:1">
      <c r="A682" s="77"/>
    </row>
    <row r="683" spans="1:1">
      <c r="A683" s="77"/>
    </row>
    <row r="684" spans="1:1">
      <c r="A684" s="77"/>
    </row>
    <row r="685" spans="1:1">
      <c r="A685" s="77"/>
    </row>
    <row r="686" spans="1:1">
      <c r="A686" s="77"/>
    </row>
    <row r="687" spans="1:1">
      <c r="A687" s="77"/>
    </row>
    <row r="688" spans="1:1">
      <c r="A688" s="77"/>
    </row>
    <row r="689" spans="1:1">
      <c r="A689" s="77"/>
    </row>
    <row r="690" spans="1:1">
      <c r="A690" s="77"/>
    </row>
    <row r="691" spans="1:1">
      <c r="A691" s="77"/>
    </row>
    <row r="692" spans="1:1">
      <c r="A692" s="77"/>
    </row>
    <row r="693" spans="1:1">
      <c r="A693" s="77"/>
    </row>
    <row r="694" spans="1:1">
      <c r="A694" s="77"/>
    </row>
    <row r="695" spans="1:1">
      <c r="A695" s="77"/>
    </row>
    <row r="696" spans="1:1">
      <c r="A696" s="77"/>
    </row>
    <row r="697" spans="1:1">
      <c r="A697" s="77"/>
    </row>
    <row r="698" spans="1:1">
      <c r="A698" s="77"/>
    </row>
    <row r="699" spans="1:1">
      <c r="A699" s="77"/>
    </row>
    <row r="700" spans="1:1">
      <c r="A700" s="77"/>
    </row>
    <row r="701" spans="1:1">
      <c r="A701" s="77"/>
    </row>
    <row r="702" spans="1:1">
      <c r="A702" s="77"/>
    </row>
    <row r="703" spans="1:1">
      <c r="A703" s="77"/>
    </row>
    <row r="704" spans="1:1">
      <c r="A704" s="77"/>
    </row>
    <row r="705" spans="1:1">
      <c r="A705" s="77"/>
    </row>
    <row r="706" spans="1:1">
      <c r="A706" s="77"/>
    </row>
    <row r="707" spans="1:1">
      <c r="A707" s="77"/>
    </row>
    <row r="708" spans="1:1">
      <c r="A708" s="77"/>
    </row>
    <row r="709" spans="1:1">
      <c r="A709" s="77"/>
    </row>
    <row r="710" spans="1:1">
      <c r="A710" s="77"/>
    </row>
    <row r="711" spans="1:1">
      <c r="A711" s="77"/>
    </row>
    <row r="712" spans="1:1">
      <c r="A712" s="77"/>
    </row>
    <row r="713" spans="1:1">
      <c r="A713" s="77"/>
    </row>
    <row r="714" spans="1:1">
      <c r="A714" s="77"/>
    </row>
    <row r="715" spans="1:1">
      <c r="A715" s="77"/>
    </row>
    <row r="716" spans="1:1">
      <c r="A716" s="77"/>
    </row>
    <row r="717" spans="1:1">
      <c r="A717" s="77"/>
    </row>
    <row r="718" spans="1:1">
      <c r="A718" s="77"/>
    </row>
    <row r="719" spans="1:1">
      <c r="A719" s="77"/>
    </row>
    <row r="720" spans="1:1">
      <c r="A720" s="77"/>
    </row>
    <row r="721" spans="1:1">
      <c r="A721" s="77"/>
    </row>
    <row r="722" spans="1:1">
      <c r="A722" s="77"/>
    </row>
    <row r="723" spans="1:1">
      <c r="A723" s="77"/>
    </row>
    <row r="724" spans="1:1">
      <c r="A724" s="77"/>
    </row>
    <row r="725" spans="1:1">
      <c r="A725" s="77"/>
    </row>
    <row r="726" spans="1:1">
      <c r="A726" s="77"/>
    </row>
    <row r="727" spans="1:1">
      <c r="A727" s="77"/>
    </row>
    <row r="728" spans="1:1">
      <c r="A728" s="77"/>
    </row>
    <row r="729" spans="1:1">
      <c r="A729" s="77"/>
    </row>
    <row r="730" spans="1:1">
      <c r="A730" s="77"/>
    </row>
    <row r="731" spans="1:1">
      <c r="A731" s="77"/>
    </row>
    <row r="732" spans="1:1">
      <c r="A732" s="77"/>
    </row>
    <row r="733" spans="1:1">
      <c r="A733" s="77"/>
    </row>
    <row r="734" spans="1:1">
      <c r="A734" s="77"/>
    </row>
    <row r="735" spans="1:1">
      <c r="A735" s="77"/>
    </row>
    <row r="736" spans="1:1">
      <c r="A736" s="77"/>
    </row>
    <row r="737" spans="1:1">
      <c r="A737" s="77"/>
    </row>
    <row r="738" spans="1:1">
      <c r="A738" s="77"/>
    </row>
    <row r="739" spans="1:1">
      <c r="A739" s="77"/>
    </row>
    <row r="740" spans="1:1">
      <c r="A740" s="77"/>
    </row>
    <row r="741" spans="1:1">
      <c r="A741" s="77"/>
    </row>
    <row r="742" spans="1:1">
      <c r="A742" s="77"/>
    </row>
    <row r="743" spans="1:1">
      <c r="A743" s="77"/>
    </row>
    <row r="744" spans="1:1">
      <c r="A744" s="77"/>
    </row>
    <row r="745" spans="1:1">
      <c r="A745" s="77"/>
    </row>
    <row r="746" spans="1:1">
      <c r="A746" s="77"/>
    </row>
    <row r="747" spans="1:1">
      <c r="A747" s="77"/>
    </row>
    <row r="748" spans="1:1">
      <c r="A748" s="77"/>
    </row>
    <row r="749" spans="1:1">
      <c r="A749" s="77"/>
    </row>
    <row r="750" spans="1:1">
      <c r="A750" s="77"/>
    </row>
    <row r="751" spans="1:1">
      <c r="A751" s="77"/>
    </row>
    <row r="752" spans="1:1">
      <c r="A752" s="77"/>
    </row>
    <row r="753" spans="1:1">
      <c r="A753" s="77"/>
    </row>
    <row r="754" spans="1:1">
      <c r="A754" s="77"/>
    </row>
    <row r="755" spans="1:1">
      <c r="A755" s="77"/>
    </row>
    <row r="756" spans="1:1">
      <c r="A756" s="77"/>
    </row>
    <row r="757" spans="1:1">
      <c r="A757" s="77"/>
    </row>
    <row r="758" spans="1:1">
      <c r="A758" s="77"/>
    </row>
    <row r="759" spans="1:1">
      <c r="A759" s="77"/>
    </row>
    <row r="760" spans="1:1">
      <c r="A760" s="77"/>
    </row>
    <row r="761" spans="1:1">
      <c r="A761" s="77"/>
    </row>
    <row r="762" spans="1:1">
      <c r="A762" s="77"/>
    </row>
    <row r="763" spans="1:1">
      <c r="A763" s="77"/>
    </row>
    <row r="764" spans="1:1">
      <c r="A764" s="77"/>
    </row>
    <row r="765" spans="1:1">
      <c r="A765" s="77"/>
    </row>
    <row r="766" spans="1:1">
      <c r="A766" s="77"/>
    </row>
    <row r="767" spans="1:1">
      <c r="A767" s="77"/>
    </row>
    <row r="768" spans="1:1">
      <c r="A768" s="77"/>
    </row>
    <row r="769" spans="1:1">
      <c r="A769" s="77"/>
    </row>
    <row r="770" spans="1:1">
      <c r="A770" s="77"/>
    </row>
    <row r="771" spans="1:1">
      <c r="A771" s="77"/>
    </row>
    <row r="772" spans="1:1">
      <c r="A772" s="77"/>
    </row>
    <row r="773" spans="1:1">
      <c r="A773" s="77"/>
    </row>
    <row r="774" spans="1:1">
      <c r="A774" s="77"/>
    </row>
    <row r="775" spans="1:1">
      <c r="A775" s="77"/>
    </row>
    <row r="776" spans="1:1">
      <c r="A776" s="77"/>
    </row>
    <row r="777" spans="1:1">
      <c r="A777" s="77"/>
    </row>
    <row r="778" spans="1:1">
      <c r="A778" s="77"/>
    </row>
    <row r="779" spans="1:1">
      <c r="A779" s="77"/>
    </row>
    <row r="780" spans="1:1">
      <c r="A780" s="77"/>
    </row>
    <row r="781" spans="1:1">
      <c r="A781" s="77"/>
    </row>
    <row r="782" spans="1:1">
      <c r="A782" s="77"/>
    </row>
    <row r="783" spans="1:1">
      <c r="A783" s="77"/>
    </row>
    <row r="784" spans="1:1">
      <c r="A784" s="77"/>
    </row>
    <row r="785" spans="1:1">
      <c r="A785" s="77"/>
    </row>
    <row r="786" spans="1:1">
      <c r="A786" s="77"/>
    </row>
    <row r="787" spans="1:1">
      <c r="A787" s="77"/>
    </row>
    <row r="788" spans="1:1">
      <c r="A788" s="77"/>
    </row>
    <row r="789" spans="1:1">
      <c r="A789" s="77"/>
    </row>
    <row r="790" spans="1:1">
      <c r="A790" s="77"/>
    </row>
    <row r="791" spans="1:1">
      <c r="A791" s="77"/>
    </row>
    <row r="792" spans="1:1">
      <c r="A792" s="77"/>
    </row>
    <row r="793" spans="1:1">
      <c r="A793" s="77"/>
    </row>
    <row r="794" spans="1:1">
      <c r="A794" s="77"/>
    </row>
    <row r="795" spans="1:1">
      <c r="A795" s="77"/>
    </row>
    <row r="796" spans="1:1">
      <c r="A796" s="77"/>
    </row>
    <row r="797" spans="1:1">
      <c r="A797" s="77"/>
    </row>
    <row r="798" spans="1:1">
      <c r="A798" s="77"/>
    </row>
    <row r="799" spans="1:1">
      <c r="A799" s="77"/>
    </row>
    <row r="800" spans="1:1">
      <c r="A800" s="77"/>
    </row>
    <row r="801" spans="1:1">
      <c r="A801" s="77"/>
    </row>
    <row r="802" spans="1:1">
      <c r="A802" s="77"/>
    </row>
    <row r="803" spans="1:1">
      <c r="A803" s="77"/>
    </row>
    <row r="804" spans="1:1">
      <c r="A804" s="77"/>
    </row>
    <row r="805" spans="1:1">
      <c r="A805" s="77"/>
    </row>
    <row r="806" spans="1:1">
      <c r="A806" s="77"/>
    </row>
    <row r="807" spans="1:1">
      <c r="A807" s="77"/>
    </row>
    <row r="808" spans="1:1">
      <c r="A808" s="77"/>
    </row>
    <row r="809" spans="1:1">
      <c r="A809" s="77"/>
    </row>
    <row r="810" spans="1:1">
      <c r="A810" s="77"/>
    </row>
    <row r="811" spans="1:1">
      <c r="A811" s="77"/>
    </row>
    <row r="812" spans="1:1">
      <c r="A812" s="77"/>
    </row>
    <row r="813" spans="1:1">
      <c r="A813" s="77"/>
    </row>
    <row r="814" spans="1:1">
      <c r="A814" s="77"/>
    </row>
    <row r="815" spans="1:1">
      <c r="A815" s="77"/>
    </row>
    <row r="816" spans="1:1">
      <c r="A816" s="77"/>
    </row>
    <row r="817" spans="1:1">
      <c r="A817" s="77"/>
    </row>
    <row r="818" spans="1:1">
      <c r="A818" s="77"/>
    </row>
    <row r="819" spans="1:1">
      <c r="A819" s="77"/>
    </row>
    <row r="820" spans="1:1">
      <c r="A820" s="77"/>
    </row>
    <row r="821" spans="1:1">
      <c r="A821" s="77"/>
    </row>
    <row r="822" spans="1:1">
      <c r="A822" s="77"/>
    </row>
    <row r="823" spans="1:1">
      <c r="A823" s="77"/>
    </row>
    <row r="824" spans="1:1">
      <c r="A824" s="77"/>
    </row>
    <row r="825" spans="1:1">
      <c r="A825" s="77"/>
    </row>
    <row r="826" spans="1:1">
      <c r="A826" s="77"/>
    </row>
    <row r="827" spans="1:1">
      <c r="A827" s="77"/>
    </row>
    <row r="828" spans="1:1">
      <c r="A828" s="77"/>
    </row>
    <row r="829" spans="1:1">
      <c r="A829" s="77"/>
    </row>
    <row r="830" spans="1:1">
      <c r="A830" s="77"/>
    </row>
    <row r="831" spans="1:1">
      <c r="A831" s="77"/>
    </row>
    <row r="832" spans="1:1">
      <c r="A832" s="77"/>
    </row>
    <row r="833" spans="1:1">
      <c r="A833" s="77"/>
    </row>
    <row r="834" spans="1:1">
      <c r="A834" s="77"/>
    </row>
    <row r="835" spans="1:1">
      <c r="A835" s="77"/>
    </row>
    <row r="836" spans="1:1">
      <c r="A836" s="77"/>
    </row>
    <row r="837" spans="1:1">
      <c r="A837" s="77"/>
    </row>
    <row r="838" spans="1:1">
      <c r="A838" s="77"/>
    </row>
    <row r="839" spans="1:1">
      <c r="A839" s="77"/>
    </row>
    <row r="840" spans="1:1">
      <c r="A840" s="77"/>
    </row>
    <row r="841" spans="1:1">
      <c r="A841" s="77"/>
    </row>
    <row r="842" spans="1:1">
      <c r="A842" s="77"/>
    </row>
    <row r="843" spans="1:1">
      <c r="A843" s="77"/>
    </row>
    <row r="844" spans="1:1">
      <c r="A844" s="77"/>
    </row>
    <row r="845" spans="1:1">
      <c r="A845" s="77"/>
    </row>
    <row r="846" spans="1:1">
      <c r="A846" s="77"/>
    </row>
    <row r="847" spans="1:1">
      <c r="A847" s="77"/>
    </row>
    <row r="848" spans="1:1">
      <c r="A848" s="77"/>
    </row>
    <row r="849" spans="1:1">
      <c r="A849" s="77"/>
    </row>
    <row r="850" spans="1:1">
      <c r="A850" s="77"/>
    </row>
    <row r="851" spans="1:1">
      <c r="A851" s="77"/>
    </row>
    <row r="852" spans="1:1">
      <c r="A852" s="77"/>
    </row>
    <row r="853" spans="1:1">
      <c r="A853" s="77"/>
    </row>
    <row r="854" spans="1:1">
      <c r="A854" s="77"/>
    </row>
    <row r="855" spans="1:1">
      <c r="A855" s="77"/>
    </row>
    <row r="856" spans="1:1">
      <c r="A856" s="77"/>
    </row>
    <row r="857" spans="1:1">
      <c r="A857" s="77"/>
    </row>
    <row r="858" spans="1:1">
      <c r="A858" s="77"/>
    </row>
    <row r="859" spans="1:1">
      <c r="A859" s="77"/>
    </row>
    <row r="860" spans="1:1">
      <c r="A860" s="77"/>
    </row>
    <row r="861" spans="1:1">
      <c r="A861" s="77"/>
    </row>
    <row r="862" spans="1:1">
      <c r="A862" s="77"/>
    </row>
    <row r="863" spans="1:1">
      <c r="A863" s="77"/>
    </row>
    <row r="864" spans="1:1">
      <c r="A864" s="77"/>
    </row>
    <row r="865" spans="1:1">
      <c r="A865" s="77"/>
    </row>
    <row r="866" spans="1:1">
      <c r="A866" s="77"/>
    </row>
    <row r="867" spans="1:1">
      <c r="A867" s="77"/>
    </row>
    <row r="868" spans="1:1">
      <c r="A868" s="77"/>
    </row>
    <row r="869" spans="1:1">
      <c r="A869" s="77"/>
    </row>
    <row r="870" spans="1:1">
      <c r="A870" s="77"/>
    </row>
    <row r="871" spans="1:1">
      <c r="A871" s="77"/>
    </row>
    <row r="872" spans="1:1">
      <c r="A872" s="77"/>
    </row>
    <row r="873" spans="1:1">
      <c r="A873" s="77"/>
    </row>
    <row r="874" spans="1:1">
      <c r="A874" s="77"/>
    </row>
    <row r="875" spans="1:1">
      <c r="A875" s="77"/>
    </row>
    <row r="876" spans="1:1">
      <c r="A876" s="77"/>
    </row>
    <row r="877" spans="1:1">
      <c r="A877" s="77"/>
    </row>
    <row r="878" spans="1:1">
      <c r="A878" s="77"/>
    </row>
    <row r="879" spans="1:1">
      <c r="A879" s="77"/>
    </row>
    <row r="880" spans="1:1">
      <c r="A880" s="77"/>
    </row>
    <row r="881" spans="1:1">
      <c r="A881" s="77"/>
    </row>
    <row r="882" spans="1:1">
      <c r="A882" s="77"/>
    </row>
    <row r="883" spans="1:1">
      <c r="A883" s="77"/>
    </row>
    <row r="884" spans="1:1">
      <c r="A884" s="77"/>
    </row>
    <row r="885" spans="1:1">
      <c r="A885" s="77"/>
    </row>
    <row r="886" spans="1:1">
      <c r="A886" s="77"/>
    </row>
    <row r="887" spans="1:1">
      <c r="A887" s="77"/>
    </row>
    <row r="888" spans="1:1">
      <c r="A888" s="77"/>
    </row>
    <row r="889" spans="1:1">
      <c r="A889" s="77"/>
    </row>
    <row r="890" spans="1:1">
      <c r="A890" s="77"/>
    </row>
    <row r="891" spans="1:1">
      <c r="A891" s="77"/>
    </row>
    <row r="892" spans="1:1">
      <c r="A892" s="77"/>
    </row>
    <row r="893" spans="1:1">
      <c r="A893" s="77"/>
    </row>
    <row r="894" spans="1:1">
      <c r="A894" s="77"/>
    </row>
    <row r="895" spans="1:1">
      <c r="A895" s="77"/>
    </row>
    <row r="896" spans="1:1">
      <c r="A896" s="77"/>
    </row>
    <row r="897" spans="1:1">
      <c r="A897" s="77"/>
    </row>
    <row r="898" spans="1:1">
      <c r="A898" s="77"/>
    </row>
    <row r="899" spans="1:1">
      <c r="A899" s="77"/>
    </row>
    <row r="900" spans="1:1">
      <c r="A900" s="77"/>
    </row>
    <row r="901" spans="1:1">
      <c r="A901" s="77"/>
    </row>
    <row r="902" spans="1:1">
      <c r="A902" s="77"/>
    </row>
    <row r="903" spans="1:1">
      <c r="A903" s="77"/>
    </row>
    <row r="904" spans="1:1">
      <c r="A904" s="77"/>
    </row>
    <row r="905" spans="1:1">
      <c r="A905" s="77"/>
    </row>
    <row r="906" spans="1:1">
      <c r="A906" s="77"/>
    </row>
    <row r="907" spans="1:1">
      <c r="A907" s="77"/>
    </row>
    <row r="908" spans="1:1">
      <c r="A908" s="77"/>
    </row>
    <row r="909" spans="1:1">
      <c r="A909" s="77"/>
    </row>
    <row r="910" spans="1:1">
      <c r="A910" s="77"/>
    </row>
    <row r="911" spans="1:1">
      <c r="A911" s="77"/>
    </row>
    <row r="912" spans="1:1">
      <c r="A912" s="77"/>
    </row>
    <row r="913" spans="1:1">
      <c r="A913" s="77"/>
    </row>
    <row r="914" spans="1:1">
      <c r="A914" s="77"/>
    </row>
    <row r="915" spans="1:1">
      <c r="A915" s="77"/>
    </row>
    <row r="916" spans="1:1">
      <c r="A916" s="77"/>
    </row>
    <row r="917" spans="1:1">
      <c r="A917" s="77"/>
    </row>
    <row r="918" spans="1:1">
      <c r="A918" s="77"/>
    </row>
    <row r="919" spans="1:1">
      <c r="A919" s="77"/>
    </row>
    <row r="920" spans="1:1">
      <c r="A920" s="77"/>
    </row>
    <row r="921" spans="1:1">
      <c r="A921" s="77"/>
    </row>
    <row r="922" spans="1:1">
      <c r="A922" s="77"/>
    </row>
    <row r="923" spans="1:1">
      <c r="A923" s="77"/>
    </row>
    <row r="924" spans="1:1">
      <c r="A924" s="77"/>
    </row>
    <row r="925" spans="1:1">
      <c r="A925" s="77"/>
    </row>
    <row r="926" spans="1:1">
      <c r="A926" s="77"/>
    </row>
    <row r="927" spans="1:1">
      <c r="A927" s="77"/>
    </row>
    <row r="928" spans="1:1">
      <c r="A928" s="77"/>
    </row>
    <row r="929" spans="1:1">
      <c r="A929" s="77"/>
    </row>
    <row r="930" spans="1:1">
      <c r="A930" s="77"/>
    </row>
    <row r="931" spans="1:1">
      <c r="A931" s="77"/>
    </row>
    <row r="932" spans="1:1">
      <c r="A932" s="77"/>
    </row>
    <row r="933" spans="1:1">
      <c r="A933" s="77"/>
    </row>
    <row r="934" spans="1:1">
      <c r="A934" s="77"/>
    </row>
    <row r="935" spans="1:1">
      <c r="A935" s="77"/>
    </row>
    <row r="936" spans="1:1">
      <c r="A936" s="77"/>
    </row>
    <row r="937" spans="1:1">
      <c r="A937" s="77"/>
    </row>
    <row r="938" spans="1:1">
      <c r="A938" s="77"/>
    </row>
    <row r="939" spans="1:1">
      <c r="A939" s="77"/>
    </row>
    <row r="940" spans="1:1">
      <c r="A940" s="77"/>
    </row>
    <row r="941" spans="1:1">
      <c r="A941" s="77"/>
    </row>
    <row r="942" spans="1:1">
      <c r="A942" s="77"/>
    </row>
    <row r="943" spans="1:1">
      <c r="A943" s="77"/>
    </row>
    <row r="944" spans="1:1">
      <c r="A944" s="77"/>
    </row>
    <row r="945" spans="1:1">
      <c r="A945" s="77"/>
    </row>
    <row r="946" spans="1:1">
      <c r="A946" s="77"/>
    </row>
    <row r="947" spans="1:1">
      <c r="A947" s="77"/>
    </row>
    <row r="948" spans="1:1">
      <c r="A948" s="77"/>
    </row>
    <row r="949" spans="1:1">
      <c r="A949" s="77"/>
    </row>
    <row r="950" spans="1:1">
      <c r="A950" s="77"/>
    </row>
    <row r="951" spans="1:1">
      <c r="A951" s="77"/>
    </row>
    <row r="952" spans="1:1">
      <c r="A952" s="77"/>
    </row>
    <row r="953" spans="1:1">
      <c r="A953" s="77"/>
    </row>
    <row r="954" spans="1:1">
      <c r="A954" s="77"/>
    </row>
    <row r="955" spans="1:1">
      <c r="A955" s="77"/>
    </row>
    <row r="956" spans="1:1">
      <c r="A956" s="77"/>
    </row>
    <row r="957" spans="1:1">
      <c r="A957" s="77"/>
    </row>
    <row r="958" spans="1:1">
      <c r="A958" s="77"/>
    </row>
    <row r="959" spans="1:1">
      <c r="A959" s="77"/>
    </row>
    <row r="960" spans="1:1">
      <c r="A960" s="77"/>
    </row>
    <row r="961" spans="1:1">
      <c r="A961" s="77"/>
    </row>
    <row r="962" spans="1:1">
      <c r="A962" s="77"/>
    </row>
    <row r="963" spans="1:1">
      <c r="A963" s="77"/>
    </row>
    <row r="964" spans="1:1">
      <c r="A964" s="77"/>
    </row>
    <row r="965" spans="1:1">
      <c r="A965" s="77"/>
    </row>
    <row r="966" spans="1:1">
      <c r="A966" s="77"/>
    </row>
    <row r="967" spans="1:1">
      <c r="A967" s="77"/>
    </row>
    <row r="968" spans="1:1">
      <c r="A968" s="77"/>
    </row>
    <row r="969" spans="1:1">
      <c r="A969" s="77"/>
    </row>
    <row r="970" spans="1:1">
      <c r="A970" s="77"/>
    </row>
    <row r="971" spans="1:1">
      <c r="A971" s="77"/>
    </row>
    <row r="972" spans="1:1">
      <c r="A972" s="77"/>
    </row>
    <row r="973" spans="1:1">
      <c r="A973" s="77"/>
    </row>
    <row r="974" spans="1:1">
      <c r="A974" s="77"/>
    </row>
    <row r="975" spans="1:1">
      <c r="A975" s="77"/>
    </row>
    <row r="976" spans="1:1">
      <c r="A976" s="77"/>
    </row>
    <row r="977" spans="1:1">
      <c r="A977" s="77"/>
    </row>
    <row r="978" spans="1:1">
      <c r="A978" s="77"/>
    </row>
    <row r="979" spans="1:1">
      <c r="A979" s="77"/>
    </row>
    <row r="980" spans="1:1">
      <c r="A980" s="77"/>
    </row>
    <row r="981" spans="1:1">
      <c r="A981" s="77"/>
    </row>
    <row r="982" spans="1:1">
      <c r="A982" s="77"/>
    </row>
    <row r="983" spans="1:1">
      <c r="A983" s="77"/>
    </row>
    <row r="984" spans="1:1">
      <c r="A984" s="77"/>
    </row>
    <row r="985" spans="1:1">
      <c r="A985" s="77"/>
    </row>
    <row r="986" spans="1:1">
      <c r="A986" s="77"/>
    </row>
    <row r="987" spans="1:1">
      <c r="A987" s="77"/>
    </row>
    <row r="988" spans="1:1">
      <c r="A988" s="77"/>
    </row>
    <row r="989" spans="1:1">
      <c r="A989" s="77"/>
    </row>
    <row r="990" spans="1:1">
      <c r="A990" s="77"/>
    </row>
    <row r="991" spans="1:1">
      <c r="A991" s="77"/>
    </row>
    <row r="992" spans="1:1">
      <c r="A992" s="77"/>
    </row>
    <row r="993" spans="1:1">
      <c r="A993" s="77"/>
    </row>
    <row r="994" spans="1:1">
      <c r="A994" s="77"/>
    </row>
    <row r="995" spans="1:1">
      <c r="A995" s="77"/>
    </row>
    <row r="996" spans="1:1">
      <c r="A996" s="77"/>
    </row>
    <row r="997" spans="1:1">
      <c r="A997" s="77"/>
    </row>
    <row r="998" spans="1:1">
      <c r="A998" s="77"/>
    </row>
    <row r="999" spans="1:1">
      <c r="A999" s="77"/>
    </row>
    <row r="1000" spans="1:1">
      <c r="A1000" s="77"/>
    </row>
    <row r="1001" spans="1:1">
      <c r="A1001" s="77"/>
    </row>
    <row r="1002" spans="1:1">
      <c r="A1002" s="77"/>
    </row>
    <row r="1003" spans="1:1">
      <c r="A1003" s="77"/>
    </row>
    <row r="1004" spans="1:1">
      <c r="A1004" s="77"/>
    </row>
    <row r="1005" spans="1:1">
      <c r="A1005" s="77"/>
    </row>
    <row r="1006" spans="1:1">
      <c r="A1006" s="77"/>
    </row>
    <row r="1007" spans="1:1">
      <c r="A1007" s="77"/>
    </row>
    <row r="1008" spans="1:1">
      <c r="A1008" s="77"/>
    </row>
    <row r="1009" spans="1:1">
      <c r="A1009" s="77"/>
    </row>
    <row r="1010" spans="1:1">
      <c r="A1010" s="77"/>
    </row>
    <row r="1011" spans="1:1">
      <c r="A1011" s="77"/>
    </row>
    <row r="1012" spans="1:1">
      <c r="A1012" s="77"/>
    </row>
    <row r="1013" spans="1:1">
      <c r="A1013" s="77"/>
    </row>
    <row r="1014" spans="1:1">
      <c r="A1014" s="77"/>
    </row>
    <row r="1015" spans="1:1">
      <c r="A1015" s="77"/>
    </row>
    <row r="1016" spans="1:1">
      <c r="A1016" s="77"/>
    </row>
    <row r="1017" spans="1:1">
      <c r="A1017" s="77"/>
    </row>
    <row r="1018" spans="1:1">
      <c r="A1018" s="77"/>
    </row>
    <row r="1019" spans="1:1">
      <c r="A1019" s="77"/>
    </row>
    <row r="1020" spans="1:1">
      <c r="A1020" s="77"/>
    </row>
    <row r="1021" spans="1:1">
      <c r="A1021" s="77"/>
    </row>
    <row r="1022" spans="1:1">
      <c r="A1022" s="77"/>
    </row>
    <row r="1023" spans="1:1">
      <c r="A1023" s="77"/>
    </row>
    <row r="1024" spans="1:1">
      <c r="A1024" s="77"/>
    </row>
    <row r="1025" spans="1:1">
      <c r="A1025" s="77"/>
    </row>
    <row r="1026" spans="1:1">
      <c r="A1026" s="77"/>
    </row>
    <row r="1027" spans="1:1">
      <c r="A1027" s="77"/>
    </row>
    <row r="1028" spans="1:1">
      <c r="A1028" s="77"/>
    </row>
    <row r="1029" spans="1:1">
      <c r="A1029" s="77"/>
    </row>
    <row r="1030" spans="1:1">
      <c r="A1030" s="77"/>
    </row>
    <row r="1031" spans="1:1">
      <c r="A1031" s="77"/>
    </row>
    <row r="1032" spans="1:1">
      <c r="A1032" s="77"/>
    </row>
    <row r="1033" spans="1:1">
      <c r="A1033" s="77"/>
    </row>
    <row r="1034" spans="1:1">
      <c r="A1034" s="77"/>
    </row>
    <row r="1035" spans="1:1">
      <c r="A1035" s="77"/>
    </row>
    <row r="1036" spans="1:1">
      <c r="A1036" s="77"/>
    </row>
    <row r="1037" spans="1:1">
      <c r="A1037" s="77"/>
    </row>
    <row r="1038" spans="1:1">
      <c r="A1038" s="77"/>
    </row>
    <row r="1039" spans="1:1">
      <c r="A1039" s="77"/>
    </row>
    <row r="1040" spans="1:1">
      <c r="A1040" s="77"/>
    </row>
    <row r="1041" spans="1:1">
      <c r="A1041" s="77"/>
    </row>
    <row r="1042" spans="1:1">
      <c r="A1042" s="77"/>
    </row>
    <row r="1043" spans="1:1">
      <c r="A1043" s="77"/>
    </row>
    <row r="1044" spans="1:1">
      <c r="A1044" s="77"/>
    </row>
    <row r="1045" spans="1:1">
      <c r="A1045" s="77"/>
    </row>
    <row r="1046" spans="1:1">
      <c r="A1046" s="77"/>
    </row>
    <row r="1047" spans="1:1">
      <c r="A1047" s="77"/>
    </row>
    <row r="1048" spans="1:1">
      <c r="A1048" s="77"/>
    </row>
    <row r="1049" spans="1:1">
      <c r="A1049" s="77"/>
    </row>
    <row r="1050" spans="1:1">
      <c r="A1050" s="77"/>
    </row>
    <row r="1051" spans="1:1">
      <c r="A1051" s="77"/>
    </row>
    <row r="1052" spans="1:1">
      <c r="A1052" s="77"/>
    </row>
    <row r="1053" spans="1:1">
      <c r="A1053" s="77"/>
    </row>
    <row r="1054" spans="1:1">
      <c r="A1054" s="77"/>
    </row>
    <row r="1055" spans="1:1">
      <c r="A1055" s="77"/>
    </row>
    <row r="1056" spans="1:1">
      <c r="A1056" s="77"/>
    </row>
    <row r="1057" spans="1:1">
      <c r="A1057" s="77"/>
    </row>
    <row r="1058" spans="1:1">
      <c r="A1058" s="77"/>
    </row>
    <row r="1059" spans="1:1">
      <c r="A1059" s="77"/>
    </row>
    <row r="1060" spans="1:1">
      <c r="A1060" s="77"/>
    </row>
    <row r="1061" spans="1:1">
      <c r="A1061" s="77"/>
    </row>
    <row r="1062" spans="1:1">
      <c r="A1062" s="77"/>
    </row>
    <row r="1063" spans="1:1">
      <c r="A1063" s="77"/>
    </row>
    <row r="1064" spans="1:1">
      <c r="A1064" s="77"/>
    </row>
    <row r="1065" spans="1:1">
      <c r="A1065" s="77"/>
    </row>
    <row r="1066" spans="1:1">
      <c r="A1066" s="77"/>
    </row>
    <row r="1067" spans="1:1">
      <c r="A1067" s="77"/>
    </row>
    <row r="1068" spans="1:1">
      <c r="A1068" s="77"/>
    </row>
    <row r="1069" spans="1:1">
      <c r="A1069" s="77"/>
    </row>
    <row r="1070" spans="1:1">
      <c r="A1070" s="77"/>
    </row>
    <row r="1071" spans="1:1">
      <c r="A1071" s="77"/>
    </row>
    <row r="1072" spans="1:1">
      <c r="A1072" s="77"/>
    </row>
    <row r="1073" spans="1:1">
      <c r="A1073" s="77"/>
    </row>
    <row r="1074" spans="1:1">
      <c r="A1074" s="77"/>
    </row>
    <row r="1075" spans="1:1">
      <c r="A1075" s="77"/>
    </row>
    <row r="1076" spans="1:1">
      <c r="A1076" s="77"/>
    </row>
    <row r="1077" spans="1:1">
      <c r="A1077" s="77"/>
    </row>
    <row r="1078" spans="1:1">
      <c r="A1078" s="77"/>
    </row>
    <row r="1079" spans="1:1">
      <c r="A1079" s="77"/>
    </row>
    <row r="1080" spans="1:1">
      <c r="A1080" s="77"/>
    </row>
    <row r="1081" spans="1:1">
      <c r="A1081" s="77"/>
    </row>
    <row r="1082" spans="1:1">
      <c r="A1082" s="77"/>
    </row>
    <row r="1083" spans="1:1">
      <c r="A1083" s="77"/>
    </row>
    <row r="1084" spans="1:1">
      <c r="A1084" s="77"/>
    </row>
    <row r="1085" spans="1:1">
      <c r="A1085" s="77"/>
    </row>
    <row r="1086" spans="1:1">
      <c r="A1086" s="77"/>
    </row>
    <row r="1087" spans="1:1">
      <c r="A1087" s="77"/>
    </row>
    <row r="1088" spans="1:1">
      <c r="A1088" s="77"/>
    </row>
    <row r="1089" spans="1:1">
      <c r="A1089" s="77"/>
    </row>
    <row r="1090" spans="1:1">
      <c r="A1090" s="77"/>
    </row>
    <row r="1091" spans="1:1">
      <c r="A1091" s="77"/>
    </row>
    <row r="1092" spans="1:1">
      <c r="A1092" s="77"/>
    </row>
    <row r="1093" spans="1:1">
      <c r="A1093" s="77"/>
    </row>
    <row r="1094" spans="1:1">
      <c r="A1094" s="77"/>
    </row>
    <row r="1095" spans="1:1">
      <c r="A1095" s="77"/>
    </row>
    <row r="1096" spans="1:1">
      <c r="A1096" s="77"/>
    </row>
    <row r="1097" spans="1:1">
      <c r="A1097" s="77"/>
    </row>
    <row r="1098" spans="1:1">
      <c r="A1098" s="77"/>
    </row>
    <row r="1099" spans="1:1">
      <c r="A1099" s="77"/>
    </row>
    <row r="1100" spans="1:1">
      <c r="A1100" s="77"/>
    </row>
    <row r="1101" spans="1:1">
      <c r="A1101" s="77"/>
    </row>
    <row r="1102" spans="1:1">
      <c r="A1102" s="77"/>
    </row>
    <row r="1103" spans="1:1">
      <c r="A1103" s="77"/>
    </row>
    <row r="1104" spans="1:1">
      <c r="A1104" s="77"/>
    </row>
    <row r="1105" spans="1:1">
      <c r="A1105" s="77"/>
    </row>
    <row r="1106" spans="1:1">
      <c r="A1106" s="77"/>
    </row>
    <row r="1107" spans="1:1">
      <c r="A1107" s="77"/>
    </row>
    <row r="1108" spans="1:1">
      <c r="A1108" s="77"/>
    </row>
    <row r="1109" spans="1:1">
      <c r="A1109" s="77"/>
    </row>
    <row r="1110" spans="1:1">
      <c r="A1110" s="77"/>
    </row>
    <row r="1111" spans="1:1">
      <c r="A1111" s="77"/>
    </row>
    <row r="1112" spans="1:1">
      <c r="A1112" s="77"/>
    </row>
    <row r="1113" spans="1:1">
      <c r="A1113" s="77"/>
    </row>
    <row r="1114" spans="1:1">
      <c r="A1114" s="77"/>
    </row>
    <row r="1115" spans="1:1">
      <c r="A1115" s="77"/>
    </row>
    <row r="1116" spans="1:1">
      <c r="A1116" s="77"/>
    </row>
    <row r="1117" spans="1:1">
      <c r="A1117" s="77"/>
    </row>
    <row r="1118" spans="1:1">
      <c r="A1118" s="77"/>
    </row>
    <row r="1119" spans="1:1">
      <c r="A1119" s="77"/>
    </row>
    <row r="1120" spans="1:1">
      <c r="A1120" s="77"/>
    </row>
    <row r="1121" spans="1:1">
      <c r="A1121" s="77"/>
    </row>
    <row r="1122" spans="1:1">
      <c r="A1122" s="77"/>
    </row>
    <row r="1123" spans="1:1">
      <c r="A1123" s="77"/>
    </row>
    <row r="1124" spans="1:1">
      <c r="A1124" s="77"/>
    </row>
    <row r="1125" spans="1:1">
      <c r="A1125" s="77"/>
    </row>
    <row r="1126" spans="1:1">
      <c r="A1126" s="77"/>
    </row>
    <row r="1127" spans="1:1">
      <c r="A1127" s="77"/>
    </row>
    <row r="1128" spans="1:1">
      <c r="A1128" s="77"/>
    </row>
    <row r="1129" spans="1:1">
      <c r="A1129" s="77"/>
    </row>
    <row r="1130" spans="1:1">
      <c r="A1130" s="77"/>
    </row>
    <row r="1131" spans="1:1">
      <c r="A1131" s="77"/>
    </row>
    <row r="1132" spans="1:1">
      <c r="A1132" s="77"/>
    </row>
    <row r="1133" spans="1:1">
      <c r="A1133" s="77"/>
    </row>
    <row r="1134" spans="1:1">
      <c r="A1134" s="77"/>
    </row>
    <row r="1135" spans="1:1">
      <c r="A1135" s="77"/>
    </row>
    <row r="1136" spans="1:1">
      <c r="A1136" s="77"/>
    </row>
    <row r="1137" spans="1:1">
      <c r="A1137" s="77"/>
    </row>
    <row r="1138" spans="1:1">
      <c r="A1138" s="77"/>
    </row>
    <row r="1139" spans="1:1">
      <c r="A1139" s="77"/>
    </row>
    <row r="1140" spans="1:1">
      <c r="A1140" s="77"/>
    </row>
    <row r="1141" spans="1:1">
      <c r="A1141" s="77"/>
    </row>
    <row r="1142" spans="1:1">
      <c r="A1142" s="77"/>
    </row>
    <row r="1143" spans="1:1">
      <c r="A1143" s="77"/>
    </row>
    <row r="1144" spans="1:1">
      <c r="A1144" s="77"/>
    </row>
    <row r="1145" spans="1:1">
      <c r="A1145" s="77"/>
    </row>
    <row r="1146" spans="1:1">
      <c r="A1146" s="77"/>
    </row>
    <row r="1147" spans="1:1">
      <c r="A1147" s="77"/>
    </row>
    <row r="1148" spans="1:1">
      <c r="A1148" s="77"/>
    </row>
    <row r="1149" spans="1:1">
      <c r="A1149" s="77"/>
    </row>
    <row r="1150" spans="1:1">
      <c r="A1150" s="77"/>
    </row>
    <row r="1151" spans="1:1">
      <c r="A1151" s="77"/>
    </row>
    <row r="1152" spans="1:1">
      <c r="A1152" s="77"/>
    </row>
    <row r="1153" spans="1:1">
      <c r="A1153" s="77"/>
    </row>
    <row r="1154" spans="1:1">
      <c r="A1154" s="77"/>
    </row>
    <row r="1155" spans="1:1">
      <c r="A1155" s="77"/>
    </row>
    <row r="1156" spans="1:1">
      <c r="A1156" s="77"/>
    </row>
    <row r="1157" spans="1:1">
      <c r="A1157" s="77"/>
    </row>
    <row r="1158" spans="1:1">
      <c r="A1158" s="77"/>
    </row>
    <row r="1159" spans="1:1">
      <c r="A1159" s="77"/>
    </row>
    <row r="1160" spans="1:1">
      <c r="A1160" s="77"/>
    </row>
    <row r="1161" spans="1:1">
      <c r="A1161" s="77"/>
    </row>
    <row r="1162" spans="1:1">
      <c r="A1162" s="77"/>
    </row>
    <row r="1163" spans="1:1">
      <c r="A1163" s="77"/>
    </row>
    <row r="1164" spans="1:1">
      <c r="A1164" s="77"/>
    </row>
    <row r="1165" spans="1:1">
      <c r="A1165" s="77"/>
    </row>
    <row r="1166" spans="1:1">
      <c r="A1166" s="77"/>
    </row>
    <row r="1167" spans="1:1">
      <c r="A1167" s="77"/>
    </row>
    <row r="1168" spans="1:1">
      <c r="A1168" s="77"/>
    </row>
    <row r="1169" spans="1:1">
      <c r="A1169" s="77"/>
    </row>
    <row r="1170" spans="1:1">
      <c r="A1170" s="77"/>
    </row>
    <row r="1171" spans="1:1">
      <c r="A1171" s="77"/>
    </row>
    <row r="1172" spans="1:1">
      <c r="A1172" s="77"/>
    </row>
    <row r="1173" spans="1:1">
      <c r="A1173" s="77"/>
    </row>
    <row r="1174" spans="1:1">
      <c r="A1174" s="77"/>
    </row>
    <row r="1175" spans="1:1">
      <c r="A1175" s="77"/>
    </row>
    <row r="1176" spans="1:1">
      <c r="A1176" s="77"/>
    </row>
    <row r="1177" spans="1:1">
      <c r="A1177" s="77"/>
    </row>
    <row r="1178" spans="1:1">
      <c r="A1178" s="77"/>
    </row>
    <row r="1179" spans="1:1">
      <c r="A1179" s="77"/>
    </row>
    <row r="1180" spans="1:1">
      <c r="A1180" s="77"/>
    </row>
    <row r="1181" spans="1:1">
      <c r="A1181" s="77"/>
    </row>
    <row r="1182" spans="1:1">
      <c r="A1182" s="77"/>
    </row>
    <row r="1183" spans="1:1">
      <c r="A1183" s="77"/>
    </row>
    <row r="1184" spans="1:1">
      <c r="A1184" s="77"/>
    </row>
    <row r="1185" spans="1:1">
      <c r="A1185" s="77"/>
    </row>
    <row r="1186" spans="1:1">
      <c r="A1186" s="77"/>
    </row>
    <row r="1187" spans="1:1">
      <c r="A1187" s="77"/>
    </row>
    <row r="1188" spans="1:1">
      <c r="A1188" s="77"/>
    </row>
    <row r="1189" spans="1:1">
      <c r="A1189" s="77"/>
    </row>
    <row r="1190" spans="1:1">
      <c r="A1190" s="77"/>
    </row>
    <row r="1191" spans="1:1">
      <c r="A1191" s="77"/>
    </row>
    <row r="1192" spans="1:1">
      <c r="A1192" s="77"/>
    </row>
    <row r="1193" spans="1:1">
      <c r="A1193" s="77"/>
    </row>
    <row r="1194" spans="1:1">
      <c r="A1194" s="77"/>
    </row>
    <row r="1195" spans="1:1">
      <c r="A1195" s="77"/>
    </row>
    <row r="1196" spans="1:1">
      <c r="A1196" s="77"/>
    </row>
    <row r="1197" spans="1:1">
      <c r="A1197" s="77"/>
    </row>
    <row r="1198" spans="1:1">
      <c r="A1198" s="77"/>
    </row>
    <row r="1199" spans="1:1">
      <c r="A1199" s="77"/>
    </row>
    <row r="1200" spans="1:1">
      <c r="A1200" s="77"/>
    </row>
    <row r="1201" spans="1:1">
      <c r="A1201" s="77"/>
    </row>
    <row r="1202" spans="1:1">
      <c r="A1202" s="77"/>
    </row>
    <row r="1203" spans="1:1">
      <c r="A1203" s="77"/>
    </row>
    <row r="1204" spans="1:1">
      <c r="A1204" s="77"/>
    </row>
    <row r="1205" spans="1:1">
      <c r="A1205" s="77"/>
    </row>
    <row r="1206" spans="1:1">
      <c r="A1206" s="77"/>
    </row>
    <row r="1207" spans="1:1">
      <c r="A1207" s="77"/>
    </row>
    <row r="1208" spans="1:1">
      <c r="A1208" s="77"/>
    </row>
    <row r="1209" spans="1:1">
      <c r="A1209" s="77"/>
    </row>
    <row r="1210" spans="1:1">
      <c r="A1210" s="77"/>
    </row>
    <row r="1211" spans="1:1">
      <c r="A1211" s="77"/>
    </row>
    <row r="1212" spans="1:1">
      <c r="A1212" s="77"/>
    </row>
    <row r="1213" spans="1:1">
      <c r="A1213" s="77"/>
    </row>
    <row r="1214" spans="1:1">
      <c r="A1214" s="77"/>
    </row>
    <row r="1215" spans="1:1">
      <c r="A1215" s="77"/>
    </row>
    <row r="1216" spans="1:1">
      <c r="A1216" s="77"/>
    </row>
    <row r="1217" spans="1:1">
      <c r="A1217" s="77"/>
    </row>
    <row r="1218" spans="1:1">
      <c r="A1218" s="77"/>
    </row>
    <row r="1219" spans="1:1">
      <c r="A1219" s="77"/>
    </row>
    <row r="1220" spans="1:1">
      <c r="A1220" s="77"/>
    </row>
    <row r="1221" spans="1:1">
      <c r="A1221" s="77"/>
    </row>
    <row r="1222" spans="1:1">
      <c r="A1222" s="77"/>
    </row>
    <row r="1223" spans="1:1">
      <c r="A1223" s="77"/>
    </row>
    <row r="1224" spans="1:1">
      <c r="A1224" s="77"/>
    </row>
    <row r="1225" spans="1:1">
      <c r="A1225" s="77"/>
    </row>
    <row r="1226" spans="1:1">
      <c r="A1226" s="77"/>
    </row>
    <row r="1227" spans="1:1">
      <c r="A1227" s="77"/>
    </row>
    <row r="1228" spans="1:1">
      <c r="A1228" s="77"/>
    </row>
    <row r="1229" spans="1:1">
      <c r="A1229" s="77"/>
    </row>
    <row r="1230" spans="1:1">
      <c r="A1230" s="77"/>
    </row>
    <row r="1231" spans="1:1">
      <c r="A1231" s="77"/>
    </row>
    <row r="1232" spans="1:1">
      <c r="A1232" s="77"/>
    </row>
    <row r="1233" spans="1:1">
      <c r="A1233" s="77"/>
    </row>
    <row r="1234" spans="1:1">
      <c r="A1234" s="77"/>
    </row>
    <row r="1235" spans="1:1">
      <c r="A1235" s="77"/>
    </row>
    <row r="1236" spans="1:1">
      <c r="A1236" s="77"/>
    </row>
    <row r="1237" spans="1:1">
      <c r="A1237" s="77"/>
    </row>
    <row r="1238" spans="1:1">
      <c r="A1238" s="77"/>
    </row>
    <row r="1239" spans="1:1">
      <c r="A1239" s="77"/>
    </row>
    <row r="1240" spans="1:1">
      <c r="A1240" s="77"/>
    </row>
    <row r="1241" spans="1:1">
      <c r="A1241" s="77"/>
    </row>
    <row r="1242" spans="1:1">
      <c r="A1242" s="77"/>
    </row>
    <row r="1243" spans="1:1">
      <c r="A1243" s="77"/>
    </row>
    <row r="1244" spans="1:1">
      <c r="A1244" s="77"/>
    </row>
    <row r="1245" spans="1:1">
      <c r="A1245" s="77"/>
    </row>
    <row r="1246" spans="1:1">
      <c r="A1246" s="77"/>
    </row>
    <row r="1247" spans="1:1">
      <c r="A1247" s="77"/>
    </row>
    <row r="1248" spans="1:1">
      <c r="A1248" s="77"/>
    </row>
    <row r="1249" spans="1:1">
      <c r="A1249" s="77"/>
    </row>
    <row r="1250" spans="1:1">
      <c r="A1250" s="77"/>
    </row>
    <row r="1251" spans="1:1">
      <c r="A1251" s="77"/>
    </row>
    <row r="1252" spans="1:1">
      <c r="A1252" s="77"/>
    </row>
    <row r="1253" spans="1:1">
      <c r="A1253" s="77"/>
    </row>
    <row r="1254" spans="1:1">
      <c r="A1254" s="77"/>
    </row>
    <row r="1255" spans="1:1">
      <c r="A1255" s="77"/>
    </row>
    <row r="1256" spans="1:1">
      <c r="A1256" s="77"/>
    </row>
    <row r="1257" spans="1:1">
      <c r="A1257" s="77"/>
    </row>
    <row r="1258" spans="1:1">
      <c r="A1258" s="77"/>
    </row>
    <row r="1259" spans="1:1">
      <c r="A1259" s="77"/>
    </row>
    <row r="1260" spans="1:1">
      <c r="A1260" s="77"/>
    </row>
    <row r="1261" spans="1:1">
      <c r="A1261" s="77"/>
    </row>
    <row r="1262" spans="1:1">
      <c r="A1262" s="77"/>
    </row>
    <row r="1263" spans="1:1">
      <c r="A1263" s="77"/>
    </row>
    <row r="1264" spans="1:1">
      <c r="A1264" s="77"/>
    </row>
    <row r="1265" spans="1:1">
      <c r="A1265" s="77"/>
    </row>
    <row r="1266" spans="1:1">
      <c r="A1266" s="77"/>
    </row>
    <row r="1267" spans="1:1">
      <c r="A1267" s="77"/>
    </row>
    <row r="1268" spans="1:1">
      <c r="A1268" s="77"/>
    </row>
    <row r="1269" spans="1:1">
      <c r="A1269" s="77"/>
    </row>
    <row r="1270" spans="1:1">
      <c r="A1270" s="77"/>
    </row>
    <row r="1271" spans="1:1">
      <c r="A1271" s="77"/>
    </row>
    <row r="1272" spans="1:1">
      <c r="A1272" s="77"/>
    </row>
    <row r="1273" spans="1:1">
      <c r="A1273" s="77"/>
    </row>
    <row r="1274" spans="1:1">
      <c r="A1274" s="77"/>
    </row>
    <row r="1275" spans="1:1">
      <c r="A1275" s="77"/>
    </row>
    <row r="1276" spans="1:1">
      <c r="A1276" s="77"/>
    </row>
    <row r="1277" spans="1:1">
      <c r="A1277" s="77"/>
    </row>
    <row r="1278" spans="1:1">
      <c r="A1278" s="77"/>
    </row>
    <row r="1279" spans="1:1">
      <c r="A1279" s="77"/>
    </row>
    <row r="1280" spans="1:1">
      <c r="A1280" s="77"/>
    </row>
    <row r="1281" spans="1:1">
      <c r="A1281" s="77"/>
    </row>
    <row r="1282" spans="1:1">
      <c r="A1282" s="77"/>
    </row>
    <row r="1283" spans="1:1">
      <c r="A1283" s="77"/>
    </row>
    <row r="1284" spans="1:1">
      <c r="A1284" s="77"/>
    </row>
    <row r="1285" spans="1:1">
      <c r="A1285" s="77"/>
    </row>
    <row r="1286" spans="1:1">
      <c r="A1286" s="77"/>
    </row>
    <row r="1287" spans="1:1">
      <c r="A1287" s="77"/>
    </row>
    <row r="1288" spans="1:1">
      <c r="A1288" s="77"/>
    </row>
    <row r="1289" spans="1:1">
      <c r="A1289" s="77"/>
    </row>
    <row r="1290" spans="1:1">
      <c r="A1290" s="77"/>
    </row>
    <row r="1291" spans="1:1">
      <c r="A1291" s="77"/>
    </row>
    <row r="1292" spans="1:1">
      <c r="A1292" s="77"/>
    </row>
    <row r="1293" spans="1:1">
      <c r="A1293" s="77"/>
    </row>
    <row r="1294" spans="1:1">
      <c r="A1294" s="77"/>
    </row>
    <row r="1295" spans="1:1">
      <c r="A1295" s="77"/>
    </row>
    <row r="1296" spans="1:1">
      <c r="A1296" s="77"/>
    </row>
    <row r="1297" spans="1:1">
      <c r="A1297" s="77"/>
    </row>
    <row r="1298" spans="1:1">
      <c r="A1298" s="77"/>
    </row>
    <row r="1299" spans="1:1">
      <c r="A1299" s="77"/>
    </row>
    <row r="1300" spans="1:1">
      <c r="A1300" s="77"/>
    </row>
    <row r="1301" spans="1:1">
      <c r="A1301" s="77"/>
    </row>
    <row r="1302" spans="1:1">
      <c r="A1302" s="77"/>
    </row>
    <row r="1303" spans="1:1">
      <c r="A1303" s="77"/>
    </row>
    <row r="1304" spans="1:1">
      <c r="A1304" s="77"/>
    </row>
    <row r="1305" spans="1:1">
      <c r="A1305" s="77"/>
    </row>
    <row r="1306" spans="1:1">
      <c r="A1306" s="77"/>
    </row>
    <row r="1307" spans="1:1">
      <c r="A1307" s="77"/>
    </row>
    <row r="1308" spans="1:1">
      <c r="A1308" s="77"/>
    </row>
    <row r="1309" spans="1:1">
      <c r="A1309" s="77"/>
    </row>
    <row r="1310" spans="1:1">
      <c r="A1310" s="77"/>
    </row>
    <row r="1311" spans="1:1">
      <c r="A1311" s="77"/>
    </row>
    <row r="1312" spans="1:1">
      <c r="A1312" s="77"/>
    </row>
    <row r="1313" spans="1:1">
      <c r="A1313" s="77"/>
    </row>
    <row r="1314" spans="1:1">
      <c r="A1314" s="77"/>
    </row>
    <row r="1315" spans="1:1">
      <c r="A1315" s="77"/>
    </row>
    <row r="1316" spans="1:1">
      <c r="A1316" s="77"/>
    </row>
    <row r="1317" spans="1:1">
      <c r="A1317" s="77"/>
    </row>
    <row r="1318" spans="1:1">
      <c r="A1318" s="77"/>
    </row>
    <row r="1319" spans="1:1">
      <c r="A1319" s="77"/>
    </row>
    <row r="1320" spans="1:1">
      <c r="A1320" s="77"/>
    </row>
    <row r="1321" spans="1:1">
      <c r="A1321" s="77"/>
    </row>
    <row r="1322" spans="1:1">
      <c r="A1322" s="77"/>
    </row>
    <row r="1323" spans="1:1">
      <c r="A1323" s="77"/>
    </row>
    <row r="1324" spans="1:1">
      <c r="A1324" s="77"/>
    </row>
    <row r="1325" spans="1:1">
      <c r="A1325" s="77"/>
    </row>
    <row r="1326" spans="1:1">
      <c r="A1326" s="77"/>
    </row>
    <row r="1327" spans="1:1">
      <c r="A1327" s="77"/>
    </row>
    <row r="1328" spans="1:1">
      <c r="A1328" s="77"/>
    </row>
    <row r="1329" spans="1:1">
      <c r="A1329" s="77"/>
    </row>
    <row r="1330" spans="1:1">
      <c r="A1330" s="77"/>
    </row>
    <row r="1331" spans="1:1">
      <c r="A1331" s="77"/>
    </row>
    <row r="1332" spans="1:1">
      <c r="A1332" s="77"/>
    </row>
    <row r="1333" spans="1:1">
      <c r="A1333" s="77"/>
    </row>
    <row r="1334" spans="1:1">
      <c r="A1334" s="77"/>
    </row>
    <row r="1335" spans="1:1">
      <c r="A1335" s="77"/>
    </row>
    <row r="1336" spans="1:1">
      <c r="A1336" s="77"/>
    </row>
    <row r="1337" spans="1:1">
      <c r="A1337" s="77"/>
    </row>
    <row r="1338" spans="1:1">
      <c r="A1338" s="77"/>
    </row>
    <row r="1339" spans="1:1">
      <c r="A1339" s="77"/>
    </row>
    <row r="1340" spans="1:1">
      <c r="A1340" s="77"/>
    </row>
    <row r="1341" spans="1:1">
      <c r="A1341" s="77"/>
    </row>
    <row r="1342" spans="1:1">
      <c r="A1342" s="77"/>
    </row>
    <row r="1343" spans="1:1">
      <c r="A1343" s="77"/>
    </row>
    <row r="1344" spans="1:1">
      <c r="A1344" s="77"/>
    </row>
    <row r="1345" spans="1:1">
      <c r="A1345" s="77"/>
    </row>
    <row r="1346" spans="1:1">
      <c r="A1346" s="77"/>
    </row>
    <row r="1347" spans="1:1">
      <c r="A1347" s="77"/>
    </row>
    <row r="1348" spans="1:1">
      <c r="A1348" s="77"/>
    </row>
    <row r="1349" spans="1:1">
      <c r="A1349" s="77"/>
    </row>
    <row r="1350" spans="1:1">
      <c r="A1350" s="77"/>
    </row>
    <row r="1351" spans="1:1">
      <c r="A1351" s="77"/>
    </row>
    <row r="1352" spans="1:1">
      <c r="A1352" s="77"/>
    </row>
    <row r="1353" spans="1:1">
      <c r="A1353" s="77"/>
    </row>
    <row r="1354" spans="1:1">
      <c r="A1354" s="77"/>
    </row>
    <row r="1355" spans="1:1">
      <c r="A1355" s="77"/>
    </row>
    <row r="1356" spans="1:1">
      <c r="A1356" s="77"/>
    </row>
    <row r="1357" spans="1:1">
      <c r="A1357" s="77"/>
    </row>
    <row r="1358" spans="1:1">
      <c r="A1358" s="77"/>
    </row>
    <row r="1359" spans="1:1">
      <c r="A1359" s="77"/>
    </row>
    <row r="1360" spans="1:1">
      <c r="A1360" s="77"/>
    </row>
    <row r="1361" spans="1:1">
      <c r="A1361" s="77"/>
    </row>
    <row r="1362" spans="1:1">
      <c r="A1362" s="77"/>
    </row>
    <row r="1363" spans="1:1">
      <c r="A1363" s="77"/>
    </row>
    <row r="1364" spans="1:1">
      <c r="A1364" s="77"/>
    </row>
    <row r="1365" spans="1:1">
      <c r="A1365" s="77"/>
    </row>
    <row r="1366" spans="1:1">
      <c r="A1366" s="77"/>
    </row>
    <row r="1367" spans="1:1">
      <c r="A1367" s="77"/>
    </row>
    <row r="1368" spans="1:1">
      <c r="A1368" s="77"/>
    </row>
    <row r="1369" spans="1:1">
      <c r="A1369" s="77"/>
    </row>
    <row r="1370" spans="1:1">
      <c r="A1370" s="77"/>
    </row>
    <row r="1371" spans="1:1">
      <c r="A1371" s="77"/>
    </row>
    <row r="1372" spans="1:1">
      <c r="A1372" s="77"/>
    </row>
    <row r="1373" spans="1:1">
      <c r="A1373" s="77"/>
    </row>
    <row r="1374" spans="1:1">
      <c r="A1374" s="77"/>
    </row>
    <row r="1375" spans="1:1">
      <c r="A1375" s="77"/>
    </row>
    <row r="1376" spans="1:1">
      <c r="A1376" s="77"/>
    </row>
    <row r="1377" spans="1:1">
      <c r="A1377" s="77"/>
    </row>
    <row r="1378" spans="1:1">
      <c r="A1378" s="77"/>
    </row>
    <row r="1379" spans="1:1">
      <c r="A1379" s="77"/>
    </row>
    <row r="1380" spans="1:1">
      <c r="A1380" s="77"/>
    </row>
    <row r="1381" spans="1:1">
      <c r="A1381" s="77"/>
    </row>
    <row r="1382" spans="1:1">
      <c r="A1382" s="77"/>
    </row>
    <row r="1383" spans="1:1">
      <c r="A1383" s="77"/>
    </row>
    <row r="1384" spans="1:1">
      <c r="A1384" s="77"/>
    </row>
    <row r="1385" spans="1:1">
      <c r="A1385" s="77"/>
    </row>
    <row r="1386" spans="1:1">
      <c r="A1386" s="77"/>
    </row>
    <row r="1387" spans="1:1">
      <c r="A1387" s="77"/>
    </row>
    <row r="1388" spans="1:1">
      <c r="A1388" s="77"/>
    </row>
    <row r="1389" spans="1:1">
      <c r="A1389" s="77"/>
    </row>
    <row r="1390" spans="1:1">
      <c r="A1390" s="77"/>
    </row>
    <row r="1391" spans="1:1">
      <c r="A1391" s="77"/>
    </row>
    <row r="1392" spans="1:1">
      <c r="A1392" s="77"/>
    </row>
    <row r="1393" spans="1:1">
      <c r="A1393" s="77"/>
    </row>
    <row r="1394" spans="1:1">
      <c r="A1394" s="77"/>
    </row>
    <row r="1395" spans="1:1">
      <c r="A1395" s="77"/>
    </row>
    <row r="1396" spans="1:1">
      <c r="A1396" s="77"/>
    </row>
    <row r="1397" spans="1:1">
      <c r="A1397" s="77"/>
    </row>
    <row r="1398" spans="1:1">
      <c r="A1398" s="77"/>
    </row>
    <row r="1399" spans="1:1">
      <c r="A1399" s="77"/>
    </row>
    <row r="1400" spans="1:1">
      <c r="A1400" s="77"/>
    </row>
    <row r="1401" spans="1:1">
      <c r="A1401" s="77"/>
    </row>
    <row r="1402" spans="1:1">
      <c r="A1402" s="77"/>
    </row>
    <row r="1403" spans="1:1">
      <c r="A1403" s="77"/>
    </row>
    <row r="1404" spans="1:1">
      <c r="A1404" s="77"/>
    </row>
    <row r="1405" spans="1:1">
      <c r="A1405" s="77"/>
    </row>
    <row r="1406" spans="1:1">
      <c r="A1406" s="77"/>
    </row>
    <row r="1407" spans="1:1">
      <c r="A1407" s="77"/>
    </row>
    <row r="1408" spans="1:1">
      <c r="A1408" s="77"/>
    </row>
    <row r="1409" spans="1:1">
      <c r="A1409" s="77"/>
    </row>
    <row r="1410" spans="1:1">
      <c r="A1410" s="77"/>
    </row>
    <row r="1411" spans="1:1">
      <c r="A1411" s="77"/>
    </row>
    <row r="1412" spans="1:1">
      <c r="A1412" s="77"/>
    </row>
    <row r="1413" spans="1:1">
      <c r="A1413" s="77"/>
    </row>
    <row r="1414" spans="1:1">
      <c r="A1414" s="77"/>
    </row>
    <row r="1415" spans="1:1">
      <c r="A1415" s="77"/>
    </row>
    <row r="1416" spans="1:1">
      <c r="A1416" s="77"/>
    </row>
    <row r="1417" spans="1:1">
      <c r="A1417" s="77"/>
    </row>
    <row r="1418" spans="1:1">
      <c r="A1418" s="77"/>
    </row>
    <row r="1419" spans="1:1">
      <c r="A1419" s="77"/>
    </row>
    <row r="1420" spans="1:1">
      <c r="A1420" s="77"/>
    </row>
    <row r="1421" spans="1:1">
      <c r="A1421" s="77"/>
    </row>
    <row r="1422" spans="1:1">
      <c r="A1422" s="77"/>
    </row>
    <row r="1423" spans="1:1">
      <c r="A1423" s="77"/>
    </row>
    <row r="1424" spans="1:1">
      <c r="A1424" s="77"/>
    </row>
    <row r="1425" spans="1:1">
      <c r="A1425" s="77"/>
    </row>
    <row r="1426" spans="1:1">
      <c r="A1426" s="77"/>
    </row>
    <row r="1427" spans="1:1">
      <c r="A1427" s="77"/>
    </row>
    <row r="1428" spans="1:1">
      <c r="A1428" s="77"/>
    </row>
    <row r="1429" spans="1:1">
      <c r="A1429" s="77"/>
    </row>
    <row r="1430" spans="1:1">
      <c r="A1430" s="77"/>
    </row>
    <row r="1431" spans="1:1">
      <c r="A1431" s="77"/>
    </row>
    <row r="1432" spans="1:1">
      <c r="A1432" s="77"/>
    </row>
    <row r="1433" spans="1:1">
      <c r="A1433" s="77"/>
    </row>
    <row r="1434" spans="1:1">
      <c r="A1434" s="77"/>
    </row>
    <row r="1435" spans="1:1">
      <c r="A1435" s="77"/>
    </row>
    <row r="1436" spans="1:1">
      <c r="A1436" s="77"/>
    </row>
    <row r="1437" spans="1:1">
      <c r="A1437" s="77"/>
    </row>
    <row r="1438" spans="1:1">
      <c r="A1438" s="77"/>
    </row>
    <row r="1439" spans="1:1">
      <c r="A1439" s="77"/>
    </row>
    <row r="1440" spans="1:1">
      <c r="A1440" s="77"/>
    </row>
    <row r="1441" spans="1:1">
      <c r="A1441" s="77"/>
    </row>
    <row r="1442" spans="1:1">
      <c r="A1442" s="77"/>
    </row>
    <row r="1443" spans="1:1">
      <c r="A1443" s="77"/>
    </row>
    <row r="1444" spans="1:1">
      <c r="A1444" s="77"/>
    </row>
    <row r="1445" spans="1:1">
      <c r="A1445" s="77"/>
    </row>
    <row r="1446" spans="1:1">
      <c r="A1446" s="77"/>
    </row>
    <row r="1447" spans="1:1">
      <c r="A1447" s="77"/>
    </row>
    <row r="1448" spans="1:1">
      <c r="A1448" s="77"/>
    </row>
    <row r="1449" spans="1:1">
      <c r="A1449" s="77"/>
    </row>
    <row r="1450" spans="1:1">
      <c r="A1450" s="77"/>
    </row>
    <row r="1451" spans="1:1">
      <c r="A1451" s="77"/>
    </row>
    <row r="1452" spans="1:1">
      <c r="A1452" s="77"/>
    </row>
    <row r="1453" spans="1:1">
      <c r="A1453" s="77"/>
    </row>
    <row r="1454" spans="1:1">
      <c r="A1454" s="77"/>
    </row>
    <row r="1455" spans="1:1">
      <c r="A1455" s="77"/>
    </row>
    <row r="1456" spans="1:1">
      <c r="A1456" s="77"/>
    </row>
    <row r="1457" spans="1:1">
      <c r="A1457" s="77"/>
    </row>
    <row r="1458" spans="1:1">
      <c r="A1458" s="77"/>
    </row>
    <row r="1459" spans="1:1">
      <c r="A1459" s="77"/>
    </row>
    <row r="1460" spans="1:1">
      <c r="A1460" s="77"/>
    </row>
    <row r="1461" spans="1:1">
      <c r="A1461" s="77"/>
    </row>
    <row r="1462" spans="1:1">
      <c r="A1462" s="77"/>
    </row>
    <row r="1463" spans="1:1">
      <c r="A1463" s="77"/>
    </row>
    <row r="1464" spans="1:1">
      <c r="A1464" s="77"/>
    </row>
    <row r="1465" spans="1:1">
      <c r="A1465" s="77"/>
    </row>
    <row r="1466" spans="1:1">
      <c r="A1466" s="77"/>
    </row>
    <row r="1467" spans="1:1">
      <c r="A1467" s="77"/>
    </row>
    <row r="1468" spans="1:1">
      <c r="A1468" s="77"/>
    </row>
    <row r="1469" spans="1:1">
      <c r="A1469" s="77"/>
    </row>
    <row r="1470" spans="1:1">
      <c r="A1470" s="77"/>
    </row>
    <row r="1471" spans="1:1">
      <c r="A1471" s="77"/>
    </row>
    <row r="1472" spans="1:1">
      <c r="A1472" s="77"/>
    </row>
    <row r="1473" spans="1:1">
      <c r="A1473" s="77"/>
    </row>
    <row r="1474" spans="1:1">
      <c r="A1474" s="77"/>
    </row>
    <row r="1475" spans="1:1">
      <c r="A1475" s="77"/>
    </row>
    <row r="1476" spans="1:1">
      <c r="A1476" s="77"/>
    </row>
    <row r="1477" spans="1:1">
      <c r="A1477" s="77"/>
    </row>
    <row r="1478" spans="1:1">
      <c r="A1478" s="77"/>
    </row>
    <row r="1479" spans="1:1">
      <c r="A1479" s="77"/>
    </row>
    <row r="1480" spans="1:1">
      <c r="A1480" s="77"/>
    </row>
    <row r="1481" spans="1:1">
      <c r="A1481" s="77"/>
    </row>
    <row r="1482" spans="1:1">
      <c r="A1482" s="77"/>
    </row>
    <row r="1483" spans="1:1">
      <c r="A1483" s="77"/>
    </row>
    <row r="1484" spans="1:1">
      <c r="A1484" s="77"/>
    </row>
    <row r="1485" spans="1:1">
      <c r="A1485" s="77"/>
    </row>
    <row r="1486" spans="1:1">
      <c r="A1486" s="77"/>
    </row>
    <row r="1487" spans="1:1">
      <c r="A1487" s="77"/>
    </row>
    <row r="1488" spans="1:1">
      <c r="A1488" s="77"/>
    </row>
    <row r="1489" spans="1:1">
      <c r="A1489" s="77"/>
    </row>
    <row r="1490" spans="1:1">
      <c r="A1490" s="77"/>
    </row>
    <row r="1491" spans="1:1">
      <c r="A1491" s="77"/>
    </row>
    <row r="1492" spans="1:1">
      <c r="A1492" s="77"/>
    </row>
    <row r="1493" spans="1:1">
      <c r="A1493" s="77"/>
    </row>
    <row r="1494" spans="1:1">
      <c r="A1494" s="77"/>
    </row>
    <row r="1495" spans="1:1">
      <c r="A1495" s="77"/>
    </row>
    <row r="1496" spans="1:1">
      <c r="A1496" s="77"/>
    </row>
    <row r="1497" spans="1:1">
      <c r="A1497" s="77"/>
    </row>
    <row r="1498" spans="1:1">
      <c r="A1498" s="77"/>
    </row>
    <row r="1499" spans="1:1">
      <c r="A1499" s="77"/>
    </row>
    <row r="1500" spans="1:1">
      <c r="A1500" s="77"/>
    </row>
    <row r="1501" spans="1:1">
      <c r="A1501" s="77"/>
    </row>
    <row r="1502" spans="1:1">
      <c r="A1502" s="77"/>
    </row>
    <row r="1503" spans="1:1">
      <c r="A1503" s="77"/>
    </row>
    <row r="1504" spans="1:1">
      <c r="A1504" s="77"/>
    </row>
    <row r="1505" spans="1:1">
      <c r="A1505" s="77"/>
    </row>
    <row r="1506" spans="1:1">
      <c r="A1506" s="77"/>
    </row>
    <row r="1507" spans="1:1">
      <c r="A1507" s="77"/>
    </row>
    <row r="1508" spans="1:1">
      <c r="A1508" s="77"/>
    </row>
    <row r="1509" spans="1:1">
      <c r="A1509" s="77"/>
    </row>
    <row r="1510" spans="1:1">
      <c r="A1510" s="77"/>
    </row>
    <row r="1511" spans="1:1">
      <c r="A1511" s="77"/>
    </row>
    <row r="1512" spans="1:1">
      <c r="A1512" s="77"/>
    </row>
    <row r="1513" spans="1:1">
      <c r="A1513" s="77"/>
    </row>
    <row r="1514" spans="1:1">
      <c r="A1514" s="77"/>
    </row>
    <row r="1515" spans="1:1">
      <c r="A1515" s="77"/>
    </row>
    <row r="1516" spans="1:1">
      <c r="A1516" s="77"/>
    </row>
    <row r="1517" spans="1:1">
      <c r="A1517" s="77"/>
    </row>
    <row r="1518" spans="1:1">
      <c r="A1518" s="77"/>
    </row>
    <row r="1519" spans="1:1">
      <c r="A1519" s="77"/>
    </row>
    <row r="1520" spans="1:1">
      <c r="A1520" s="77"/>
    </row>
    <row r="1521" spans="1:1">
      <c r="A1521" s="77"/>
    </row>
    <row r="1522" spans="1:1">
      <c r="A1522" s="77"/>
    </row>
    <row r="1523" spans="1:1">
      <c r="A1523" s="77"/>
    </row>
    <row r="1524" spans="1:1">
      <c r="A1524" s="77"/>
    </row>
    <row r="1525" spans="1:1">
      <c r="A1525" s="77"/>
    </row>
    <row r="1526" spans="1:1">
      <c r="A1526" s="77"/>
    </row>
    <row r="1527" spans="1:1">
      <c r="A1527" s="77"/>
    </row>
    <row r="1528" spans="1:1">
      <c r="A1528" s="77"/>
    </row>
    <row r="1529" spans="1:1">
      <c r="A1529" s="77"/>
    </row>
    <row r="1530" spans="1:1">
      <c r="A1530" s="77"/>
    </row>
    <row r="1531" spans="1:1">
      <c r="A1531" s="77"/>
    </row>
    <row r="1532" spans="1:1">
      <c r="A1532" s="77"/>
    </row>
    <row r="1533" spans="1:1">
      <c r="A1533" s="77"/>
    </row>
    <row r="1534" spans="1:1">
      <c r="A1534" s="77"/>
    </row>
    <row r="1535" spans="1:1">
      <c r="A1535" s="77"/>
    </row>
    <row r="1536" spans="1:1">
      <c r="A1536" s="77"/>
    </row>
    <row r="1537" spans="1:1">
      <c r="A1537" s="77"/>
    </row>
    <row r="1538" spans="1:1">
      <c r="A1538" s="77"/>
    </row>
    <row r="1539" spans="1:1">
      <c r="A1539" s="77"/>
    </row>
    <row r="1540" spans="1:1">
      <c r="A1540" s="77"/>
    </row>
    <row r="1541" spans="1:1">
      <c r="A1541" s="77"/>
    </row>
    <row r="1542" spans="1:1">
      <c r="A1542" s="77"/>
    </row>
    <row r="1543" spans="1:1">
      <c r="A1543" s="77"/>
    </row>
    <row r="1544" spans="1:1">
      <c r="A1544" s="77"/>
    </row>
    <row r="1545" spans="1:1">
      <c r="A1545" s="77"/>
    </row>
    <row r="1546" spans="1:1">
      <c r="A1546" s="77"/>
    </row>
    <row r="1547" spans="1:1">
      <c r="A1547" s="77"/>
    </row>
    <row r="1548" spans="1:1">
      <c r="A1548" s="77"/>
    </row>
    <row r="1549" spans="1:1">
      <c r="A1549" s="77"/>
    </row>
    <row r="1550" spans="1:1">
      <c r="A1550" s="77"/>
    </row>
    <row r="1551" spans="1:1">
      <c r="A1551" s="77"/>
    </row>
    <row r="1552" spans="1:1">
      <c r="A1552" s="77"/>
    </row>
    <row r="1553" spans="1:1">
      <c r="A1553" s="77"/>
    </row>
    <row r="1554" spans="1:1">
      <c r="A1554" s="77"/>
    </row>
    <row r="1555" spans="1:1">
      <c r="A1555" s="77"/>
    </row>
    <row r="1556" spans="1:1">
      <c r="A1556" s="77"/>
    </row>
    <row r="1557" spans="1:1">
      <c r="A1557" s="77"/>
    </row>
    <row r="1558" spans="1:1">
      <c r="A1558" s="77"/>
    </row>
    <row r="1559" spans="1:1">
      <c r="A1559" s="77"/>
    </row>
    <row r="1560" spans="1:1">
      <c r="A1560" s="77"/>
    </row>
    <row r="1561" spans="1:1">
      <c r="A1561" s="77"/>
    </row>
    <row r="1562" spans="1:1">
      <c r="A1562" s="77"/>
    </row>
    <row r="1563" spans="1:1">
      <c r="A1563" s="77"/>
    </row>
    <row r="1564" spans="1:1">
      <c r="A1564" s="77"/>
    </row>
    <row r="1565" spans="1:1">
      <c r="A1565" s="77"/>
    </row>
    <row r="1566" spans="1:1">
      <c r="A1566" s="77"/>
    </row>
    <row r="1567" spans="1:1">
      <c r="A1567" s="77"/>
    </row>
    <row r="1568" spans="1:1">
      <c r="A1568" s="77"/>
    </row>
    <row r="1569" spans="1:1">
      <c r="A1569" s="77"/>
    </row>
    <row r="1570" spans="1:1">
      <c r="A1570" s="77"/>
    </row>
    <row r="1571" spans="1:1">
      <c r="A1571" s="77"/>
    </row>
    <row r="1572" spans="1:1">
      <c r="A1572" s="77"/>
    </row>
    <row r="1573" spans="1:1">
      <c r="A1573" s="77"/>
    </row>
    <row r="1574" spans="1:1">
      <c r="A1574" s="77"/>
    </row>
    <row r="1575" spans="1:1">
      <c r="A1575" s="77"/>
    </row>
    <row r="1576" spans="1:1">
      <c r="A1576" s="77"/>
    </row>
    <row r="1577" spans="1:1">
      <c r="A1577" s="77"/>
    </row>
    <row r="1578" spans="1:1">
      <c r="A1578" s="77"/>
    </row>
    <row r="1579" spans="1:1">
      <c r="A1579" s="77"/>
    </row>
    <row r="1580" spans="1:1">
      <c r="A1580" s="77"/>
    </row>
    <row r="1581" spans="1:1">
      <c r="A1581" s="77"/>
    </row>
    <row r="1582" spans="1:1">
      <c r="A1582" s="77"/>
    </row>
    <row r="1583" spans="1:1">
      <c r="A1583" s="77"/>
    </row>
    <row r="1584" spans="1:1">
      <c r="A1584" s="77"/>
    </row>
    <row r="1585" spans="1:1">
      <c r="A1585" s="77"/>
    </row>
    <row r="1586" spans="1:1">
      <c r="A1586" s="77"/>
    </row>
    <row r="1587" spans="1:1">
      <c r="A1587" s="77"/>
    </row>
    <row r="1588" spans="1:1">
      <c r="A1588" s="77"/>
    </row>
    <row r="1589" spans="1:1">
      <c r="A1589" s="77"/>
    </row>
    <row r="1590" spans="1:1">
      <c r="A1590" s="77"/>
    </row>
    <row r="1591" spans="1:1">
      <c r="A1591" s="77"/>
    </row>
    <row r="1592" spans="1:1">
      <c r="A1592" s="77"/>
    </row>
    <row r="1593" spans="1:1">
      <c r="A1593" s="77"/>
    </row>
    <row r="1594" spans="1:1">
      <c r="A1594" s="77"/>
    </row>
    <row r="1595" spans="1:1">
      <c r="A1595" s="77"/>
    </row>
    <row r="1596" spans="1:1">
      <c r="A1596" s="77"/>
    </row>
    <row r="1597" spans="1:1">
      <c r="A1597" s="77"/>
    </row>
    <row r="1598" spans="1:1">
      <c r="A1598" s="77"/>
    </row>
    <row r="1599" spans="1:1">
      <c r="A1599" s="77"/>
    </row>
    <row r="1600" spans="1:1">
      <c r="A1600" s="77"/>
    </row>
    <row r="1601" spans="1:1">
      <c r="A1601" s="77"/>
    </row>
    <row r="1602" spans="1:1">
      <c r="A1602" s="77"/>
    </row>
    <row r="1603" spans="1:1">
      <c r="A1603" s="77"/>
    </row>
    <row r="1604" spans="1:1">
      <c r="A1604" s="77"/>
    </row>
    <row r="1605" spans="1:1">
      <c r="A1605" s="77"/>
    </row>
    <row r="1606" spans="1:1">
      <c r="A1606" s="77"/>
    </row>
    <row r="1607" spans="1:1">
      <c r="A1607" s="77"/>
    </row>
    <row r="1608" spans="1:1">
      <c r="A1608" s="77"/>
    </row>
    <row r="1609" spans="1:1">
      <c r="A1609" s="77"/>
    </row>
    <row r="1610" spans="1:1">
      <c r="A1610" s="77"/>
    </row>
    <row r="1611" spans="1:1">
      <c r="A1611" s="77"/>
    </row>
    <row r="1612" spans="1:1">
      <c r="A1612" s="77"/>
    </row>
    <row r="1613" spans="1:1">
      <c r="A1613" s="77"/>
    </row>
    <row r="1614" spans="1:1">
      <c r="A1614" s="77"/>
    </row>
    <row r="1615" spans="1:1">
      <c r="A1615" s="77"/>
    </row>
    <row r="1616" spans="1:1">
      <c r="A1616" s="77"/>
    </row>
    <row r="1617" spans="1:1">
      <c r="A1617" s="77"/>
    </row>
    <row r="1618" spans="1:1">
      <c r="A1618" s="77"/>
    </row>
    <row r="1619" spans="1:1">
      <c r="A1619" s="77"/>
    </row>
    <row r="1620" spans="1:1">
      <c r="A1620" s="77"/>
    </row>
    <row r="1621" spans="1:1">
      <c r="A1621" s="77"/>
    </row>
    <row r="1622" spans="1:1">
      <c r="A1622" s="77"/>
    </row>
    <row r="1623" spans="1:1">
      <c r="A1623" s="77"/>
    </row>
    <row r="1624" spans="1:1">
      <c r="A1624" s="77"/>
    </row>
    <row r="1625" spans="1:1">
      <c r="A1625" s="77"/>
    </row>
    <row r="1626" spans="1:1">
      <c r="A1626" s="77"/>
    </row>
    <row r="1627" spans="1:1">
      <c r="A1627" s="77"/>
    </row>
    <row r="1628" spans="1:1">
      <c r="A1628" s="77"/>
    </row>
    <row r="1629" spans="1:1">
      <c r="A1629" s="77"/>
    </row>
    <row r="1630" spans="1:1">
      <c r="A1630" s="77"/>
    </row>
    <row r="1631" spans="1:1">
      <c r="A1631" s="77"/>
    </row>
    <row r="1632" spans="1:1">
      <c r="A1632" s="77"/>
    </row>
    <row r="1633" spans="1:1">
      <c r="A1633" s="77"/>
    </row>
    <row r="1634" spans="1:1">
      <c r="A1634" s="77"/>
    </row>
    <row r="1635" spans="1:1">
      <c r="A1635" s="77"/>
    </row>
    <row r="1636" spans="1:1">
      <c r="A1636" s="77"/>
    </row>
    <row r="1637" spans="1:1">
      <c r="A1637" s="77"/>
    </row>
    <row r="1638" spans="1:1">
      <c r="A1638" s="77"/>
    </row>
    <row r="1639" spans="1:1">
      <c r="A1639" s="77"/>
    </row>
    <row r="1640" spans="1:1">
      <c r="A1640" s="77"/>
    </row>
    <row r="1641" spans="1:1">
      <c r="A1641" s="77"/>
    </row>
    <row r="1642" spans="1:1">
      <c r="A1642" s="77"/>
    </row>
    <row r="1643" spans="1:1">
      <c r="A1643" s="77"/>
    </row>
    <row r="1644" spans="1:1">
      <c r="A1644" s="77"/>
    </row>
    <row r="1645" spans="1:1">
      <c r="A1645" s="77"/>
    </row>
    <row r="1646" spans="1:1">
      <c r="A1646" s="77"/>
    </row>
    <row r="1647" spans="1:1">
      <c r="A1647" s="77"/>
    </row>
    <row r="1648" spans="1:1">
      <c r="A1648" s="77"/>
    </row>
    <row r="1649" spans="1:1">
      <c r="A1649" s="77"/>
    </row>
    <row r="1650" spans="1:1">
      <c r="A1650" s="77"/>
    </row>
    <row r="1651" spans="1:1">
      <c r="A1651" s="77"/>
    </row>
    <row r="1652" spans="1:1">
      <c r="A1652" s="77"/>
    </row>
    <row r="1653" spans="1:1">
      <c r="A1653" s="77"/>
    </row>
    <row r="1654" spans="1:1">
      <c r="A1654" s="77"/>
    </row>
    <row r="1655" spans="1:1">
      <c r="A1655" s="77"/>
    </row>
    <row r="1656" spans="1:1">
      <c r="A1656" s="77"/>
    </row>
    <row r="1657" spans="1:1">
      <c r="A1657" s="77"/>
    </row>
    <row r="1658" spans="1:1">
      <c r="A1658" s="77"/>
    </row>
    <row r="1659" spans="1:1">
      <c r="A1659" s="77"/>
    </row>
    <row r="1660" spans="1:1">
      <c r="A1660" s="77"/>
    </row>
    <row r="1661" spans="1:1">
      <c r="A1661" s="77"/>
    </row>
    <row r="1662" spans="1:1">
      <c r="A1662" s="77"/>
    </row>
    <row r="1663" spans="1:1">
      <c r="A1663" s="77"/>
    </row>
    <row r="1664" spans="1:1">
      <c r="A1664" s="77"/>
    </row>
    <row r="1665" spans="1:1">
      <c r="A1665" s="77"/>
    </row>
    <row r="1666" spans="1:1">
      <c r="A1666" s="77"/>
    </row>
    <row r="1667" spans="1:1">
      <c r="A1667" s="77"/>
    </row>
    <row r="1668" spans="1:1">
      <c r="A1668" s="77"/>
    </row>
    <row r="1669" spans="1:1">
      <c r="A1669" s="77"/>
    </row>
    <row r="1670" spans="1:1">
      <c r="A1670" s="77"/>
    </row>
    <row r="1671" spans="1:1">
      <c r="A1671" s="77"/>
    </row>
    <row r="1672" spans="1:1">
      <c r="A1672" s="77"/>
    </row>
    <row r="1673" spans="1:1">
      <c r="A1673" s="77"/>
    </row>
    <row r="1674" spans="1:1">
      <c r="A1674" s="77"/>
    </row>
    <row r="1675" spans="1:1">
      <c r="A1675" s="77"/>
    </row>
    <row r="1676" spans="1:1">
      <c r="A1676" s="77"/>
    </row>
    <row r="1677" spans="1:1">
      <c r="A1677" s="77"/>
    </row>
    <row r="1678" spans="1:1">
      <c r="A1678" s="77"/>
    </row>
    <row r="1679" spans="1:1">
      <c r="A1679" s="77"/>
    </row>
    <row r="1680" spans="1:1">
      <c r="A1680" s="77"/>
    </row>
    <row r="1681" spans="1:1">
      <c r="A1681" s="77"/>
    </row>
    <row r="1682" spans="1:1">
      <c r="A1682" s="77"/>
    </row>
    <row r="1683" spans="1:1">
      <c r="A1683" s="77"/>
    </row>
    <row r="1684" spans="1:1">
      <c r="A1684" s="77"/>
    </row>
    <row r="1685" spans="1:1">
      <c r="A1685" s="77"/>
    </row>
    <row r="1686" spans="1:1">
      <c r="A1686" s="77"/>
    </row>
    <row r="1687" spans="1:1">
      <c r="A1687" s="77"/>
    </row>
    <row r="1688" spans="1:1">
      <c r="A1688" s="77"/>
    </row>
    <row r="1689" spans="1:1">
      <c r="A1689" s="77"/>
    </row>
    <row r="1690" spans="1:1">
      <c r="A1690" s="77"/>
    </row>
    <row r="1691" spans="1:1">
      <c r="A1691" s="77"/>
    </row>
    <row r="1692" spans="1:1">
      <c r="A1692" s="77"/>
    </row>
    <row r="1693" spans="1:1">
      <c r="A1693" s="77"/>
    </row>
    <row r="1694" spans="1:1">
      <c r="A1694" s="77"/>
    </row>
    <row r="1695" spans="1:1">
      <c r="A1695" s="77"/>
    </row>
    <row r="1696" spans="1:1">
      <c r="A1696" s="77"/>
    </row>
    <row r="1697" spans="1:1">
      <c r="A1697" s="77"/>
    </row>
    <row r="1698" spans="1:1">
      <c r="A1698" s="77"/>
    </row>
    <row r="1699" spans="1:1">
      <c r="A1699" s="77"/>
    </row>
    <row r="1700" spans="1:1">
      <c r="A1700" s="77"/>
    </row>
    <row r="1701" spans="1:1">
      <c r="A1701" s="77"/>
    </row>
    <row r="1702" spans="1:1">
      <c r="A1702" s="77"/>
    </row>
    <row r="1703" spans="1:1">
      <c r="A1703" s="77"/>
    </row>
    <row r="1704" spans="1:1">
      <c r="A1704" s="77"/>
    </row>
    <row r="1705" spans="1:1">
      <c r="A1705" s="77"/>
    </row>
    <row r="1706" spans="1:1">
      <c r="A1706" s="77"/>
    </row>
    <row r="1707" spans="1:1">
      <c r="A1707" s="77"/>
    </row>
    <row r="1708" spans="1:1">
      <c r="A1708" s="77"/>
    </row>
    <row r="1709" spans="1:1">
      <c r="A1709" s="77"/>
    </row>
    <row r="1710" spans="1:1">
      <c r="A1710" s="77"/>
    </row>
    <row r="1711" spans="1:1">
      <c r="A1711" s="77"/>
    </row>
    <row r="1712" spans="1:1">
      <c r="A1712" s="77"/>
    </row>
    <row r="1713" spans="1:1">
      <c r="A1713" s="77"/>
    </row>
    <row r="1714" spans="1:1">
      <c r="A1714" s="77"/>
    </row>
    <row r="1715" spans="1:1">
      <c r="A1715" s="77"/>
    </row>
    <row r="1716" spans="1:1">
      <c r="A1716" s="77"/>
    </row>
    <row r="1717" spans="1:1">
      <c r="A1717" s="77"/>
    </row>
    <row r="1718" spans="1:1">
      <c r="A1718" s="77"/>
    </row>
    <row r="1719" spans="1:1">
      <c r="A1719" s="77"/>
    </row>
    <row r="1720" spans="1:1">
      <c r="A1720" s="77"/>
    </row>
    <row r="1721" spans="1:1">
      <c r="A1721" s="77"/>
    </row>
    <row r="1722" spans="1:1">
      <c r="A1722" s="77"/>
    </row>
    <row r="1723" spans="1:1">
      <c r="A1723" s="77"/>
    </row>
    <row r="1724" spans="1:1">
      <c r="A1724" s="77"/>
    </row>
    <row r="1725" spans="1:1">
      <c r="A1725" s="77"/>
    </row>
    <row r="1726" spans="1:1">
      <c r="A1726" s="77"/>
    </row>
    <row r="1727" spans="1:1">
      <c r="A1727" s="77"/>
    </row>
    <row r="1728" spans="1:1">
      <c r="A1728" s="77"/>
    </row>
    <row r="1729" spans="1:1">
      <c r="A1729" s="77"/>
    </row>
    <row r="1730" spans="1:1">
      <c r="A1730" s="77"/>
    </row>
    <row r="1731" spans="1:1">
      <c r="A1731" s="77"/>
    </row>
    <row r="1732" spans="1:1">
      <c r="A1732" s="77"/>
    </row>
    <row r="1733" spans="1:1">
      <c r="A1733" s="77"/>
    </row>
    <row r="1734" spans="1:1">
      <c r="A1734" s="77"/>
    </row>
    <row r="1735" spans="1:1">
      <c r="A1735" s="77"/>
    </row>
    <row r="1736" spans="1:1">
      <c r="A1736" s="77"/>
    </row>
    <row r="1737" spans="1:1">
      <c r="A1737" s="77"/>
    </row>
    <row r="1738" spans="1:1">
      <c r="A1738" s="77"/>
    </row>
    <row r="1739" spans="1:1">
      <c r="A1739" s="77"/>
    </row>
    <row r="1740" spans="1:1">
      <c r="A1740" s="77"/>
    </row>
    <row r="1741" spans="1:1">
      <c r="A1741" s="77"/>
    </row>
    <row r="1742" spans="1:1">
      <c r="A1742" s="77"/>
    </row>
    <row r="1743" spans="1:1">
      <c r="A1743" s="77"/>
    </row>
    <row r="1744" spans="1:1">
      <c r="A1744" s="77"/>
    </row>
    <row r="1745" spans="1:1">
      <c r="A1745" s="77"/>
    </row>
    <row r="1746" spans="1:1">
      <c r="A1746" s="77"/>
    </row>
    <row r="1747" spans="1:1">
      <c r="A1747" s="77"/>
    </row>
    <row r="1748" spans="1:1">
      <c r="A1748" s="77"/>
    </row>
    <row r="1749" spans="1:1">
      <c r="A1749" s="77"/>
    </row>
    <row r="1750" spans="1:1">
      <c r="A1750" s="77"/>
    </row>
    <row r="1751" spans="1:1">
      <c r="A1751" s="77"/>
    </row>
    <row r="1752" spans="1:1">
      <c r="A1752" s="77"/>
    </row>
    <row r="1753" spans="1:1">
      <c r="A1753" s="77"/>
    </row>
    <row r="1754" spans="1:1">
      <c r="A1754" s="77"/>
    </row>
    <row r="1755" spans="1:1">
      <c r="A1755" s="77"/>
    </row>
    <row r="1756" spans="1:1">
      <c r="A1756" s="77"/>
    </row>
    <row r="1757" spans="1:1">
      <c r="A1757" s="77"/>
    </row>
    <row r="1758" spans="1:1">
      <c r="A1758" s="77"/>
    </row>
    <row r="1759" spans="1:1">
      <c r="A1759" s="77"/>
    </row>
    <row r="1760" spans="1:1">
      <c r="A1760" s="77"/>
    </row>
    <row r="1761" spans="1:1">
      <c r="A1761" s="77"/>
    </row>
    <row r="1762" spans="1:1">
      <c r="A1762" s="77"/>
    </row>
    <row r="1763" spans="1:1">
      <c r="A1763" s="77"/>
    </row>
    <row r="1764" spans="1:1">
      <c r="A1764" s="77"/>
    </row>
    <row r="1765" spans="1:1">
      <c r="A1765" s="77"/>
    </row>
    <row r="1766" spans="1:1">
      <c r="A1766" s="77"/>
    </row>
    <row r="1767" spans="1:1">
      <c r="A1767" s="77"/>
    </row>
    <row r="1768" spans="1:1">
      <c r="A1768" s="77"/>
    </row>
    <row r="1769" spans="1:1">
      <c r="A1769" s="77"/>
    </row>
    <row r="1770" spans="1:1">
      <c r="A1770" s="77"/>
    </row>
    <row r="1771" spans="1:1">
      <c r="A1771" s="77"/>
    </row>
    <row r="1772" spans="1:1">
      <c r="A1772" s="77"/>
    </row>
    <row r="1773" spans="1:1">
      <c r="A1773" s="77"/>
    </row>
    <row r="1774" spans="1:1">
      <c r="A1774" s="77"/>
    </row>
    <row r="1775" spans="1:1">
      <c r="A1775" s="77"/>
    </row>
    <row r="1776" spans="1:1">
      <c r="A1776" s="77"/>
    </row>
    <row r="1777" spans="1:1">
      <c r="A1777" s="77"/>
    </row>
    <row r="1778" spans="1:1">
      <c r="A1778" s="77"/>
    </row>
    <row r="1779" spans="1:1">
      <c r="A1779" s="77"/>
    </row>
    <row r="1780" spans="1:1">
      <c r="A1780" s="77"/>
    </row>
    <row r="1781" spans="1:1">
      <c r="A1781" s="77"/>
    </row>
    <row r="1782" spans="1:1">
      <c r="A1782" s="77"/>
    </row>
    <row r="1783" spans="1:1">
      <c r="A1783" s="77"/>
    </row>
    <row r="1784" spans="1:1">
      <c r="A1784" s="77"/>
    </row>
    <row r="1785" spans="1:1">
      <c r="A1785" s="77"/>
    </row>
    <row r="1786" spans="1:1">
      <c r="A1786" s="77"/>
    </row>
    <row r="1787" spans="1:1">
      <c r="A1787" s="77"/>
    </row>
    <row r="1788" spans="1:1">
      <c r="A1788" s="77"/>
    </row>
    <row r="1789" spans="1:1">
      <c r="A1789" s="77"/>
    </row>
    <row r="1790" spans="1:1">
      <c r="A1790" s="77"/>
    </row>
    <row r="1791" spans="1:1">
      <c r="A1791" s="77"/>
    </row>
    <row r="1792" spans="1:1">
      <c r="A1792" s="77"/>
    </row>
    <row r="1793" spans="1:1">
      <c r="A1793" s="77"/>
    </row>
    <row r="1794" spans="1:1">
      <c r="A1794" s="77"/>
    </row>
    <row r="1795" spans="1:1">
      <c r="A1795" s="77"/>
    </row>
    <row r="1796" spans="1:1">
      <c r="A1796" s="77"/>
    </row>
    <row r="1797" spans="1:1">
      <c r="A1797" s="77"/>
    </row>
    <row r="1798" spans="1:1">
      <c r="A1798" s="77"/>
    </row>
    <row r="1799" spans="1:1">
      <c r="A1799" s="77"/>
    </row>
    <row r="1800" spans="1:1">
      <c r="A1800" s="77"/>
    </row>
    <row r="1801" spans="1:1">
      <c r="A1801" s="77"/>
    </row>
    <row r="1802" spans="1:1">
      <c r="A1802" s="77"/>
    </row>
    <row r="1803" spans="1:1">
      <c r="A1803" s="77"/>
    </row>
    <row r="1804" spans="1:1">
      <c r="A1804" s="77"/>
    </row>
    <row r="1805" spans="1:1">
      <c r="A1805" s="77"/>
    </row>
    <row r="1806" spans="1:1">
      <c r="A1806" s="77"/>
    </row>
    <row r="1807" spans="1:1">
      <c r="A1807" s="77"/>
    </row>
    <row r="1808" spans="1:1">
      <c r="A1808" s="77"/>
    </row>
    <row r="1809" spans="1:1">
      <c r="A1809" s="77"/>
    </row>
    <row r="1810" spans="1:1">
      <c r="A1810" s="77"/>
    </row>
    <row r="1811" spans="1:1">
      <c r="A1811" s="77"/>
    </row>
    <row r="1812" spans="1:1">
      <c r="A1812" s="77"/>
    </row>
    <row r="1813" spans="1:1">
      <c r="A1813" s="77"/>
    </row>
    <row r="1814" spans="1:1">
      <c r="A1814" s="77"/>
    </row>
    <row r="1815" spans="1:1">
      <c r="A1815" s="77"/>
    </row>
    <row r="1816" spans="1:1">
      <c r="A1816" s="77"/>
    </row>
    <row r="1817" spans="1:1">
      <c r="A1817" s="77"/>
    </row>
    <row r="1818" spans="1:1">
      <c r="A1818" s="77"/>
    </row>
    <row r="1819" spans="1:1">
      <c r="A1819" s="77"/>
    </row>
    <row r="1820" spans="1:1">
      <c r="A1820" s="77"/>
    </row>
    <row r="1821" spans="1:1">
      <c r="A1821" s="77"/>
    </row>
    <row r="1822" spans="1:1">
      <c r="A1822" s="77"/>
    </row>
    <row r="1823" spans="1:1">
      <c r="A1823" s="77"/>
    </row>
    <row r="1824" spans="1:1">
      <c r="A1824" s="77"/>
    </row>
    <row r="1825" spans="1:1">
      <c r="A1825" s="77"/>
    </row>
    <row r="1826" spans="1:1">
      <c r="A1826" s="77"/>
    </row>
    <row r="1827" spans="1:1">
      <c r="A1827" s="77"/>
    </row>
    <row r="1828" spans="1:1">
      <c r="A1828" s="77"/>
    </row>
    <row r="1829" spans="1:1">
      <c r="A1829" s="77"/>
    </row>
    <row r="1830" spans="1:1">
      <c r="A1830" s="77"/>
    </row>
    <row r="1831" spans="1:1">
      <c r="A1831" s="77"/>
    </row>
    <row r="1832" spans="1:1">
      <c r="A1832" s="77"/>
    </row>
    <row r="1833" spans="1:1">
      <c r="A1833" s="77"/>
    </row>
    <row r="1834" spans="1:1">
      <c r="A1834" s="77"/>
    </row>
    <row r="1835" spans="1:1">
      <c r="A1835" s="77"/>
    </row>
    <row r="1836" spans="1:1">
      <c r="A1836" s="77"/>
    </row>
    <row r="1837" spans="1:1">
      <c r="A1837" s="77"/>
    </row>
    <row r="1838" spans="1:1">
      <c r="A1838" s="77"/>
    </row>
    <row r="1839" spans="1:1">
      <c r="A1839" s="77"/>
    </row>
    <row r="1840" spans="1:1">
      <c r="A1840" s="77"/>
    </row>
    <row r="1841" spans="1:1">
      <c r="A1841" s="77"/>
    </row>
    <row r="1842" spans="1:1">
      <c r="A1842" s="77"/>
    </row>
    <row r="1843" spans="1:1">
      <c r="A1843" s="77"/>
    </row>
    <row r="1844" spans="1:1">
      <c r="A1844" s="77"/>
    </row>
    <row r="1845" spans="1:1">
      <c r="A1845" s="77"/>
    </row>
    <row r="1846" spans="1:1">
      <c r="A1846" s="77"/>
    </row>
    <row r="1847" spans="1:1">
      <c r="A1847" s="77"/>
    </row>
    <row r="1848" spans="1:1">
      <c r="A1848" s="77"/>
    </row>
    <row r="1849" spans="1:1">
      <c r="A1849" s="77"/>
    </row>
    <row r="1850" spans="1:1">
      <c r="A1850" s="77"/>
    </row>
    <row r="1851" spans="1:1">
      <c r="A1851" s="77"/>
    </row>
    <row r="1852" spans="1:1">
      <c r="A1852" s="77"/>
    </row>
    <row r="1853" spans="1:1">
      <c r="A1853" s="77"/>
    </row>
    <row r="1854" spans="1:1">
      <c r="A1854" s="77"/>
    </row>
    <row r="1855" spans="1:1">
      <c r="A1855" s="77"/>
    </row>
    <row r="1856" spans="1:1">
      <c r="A1856" s="77"/>
    </row>
    <row r="1857" spans="1:1">
      <c r="A1857" s="77"/>
    </row>
    <row r="1858" spans="1:1">
      <c r="A1858" s="77"/>
    </row>
    <row r="1859" spans="1:1">
      <c r="A1859" s="77"/>
    </row>
    <row r="1860" spans="1:1">
      <c r="A1860" s="77"/>
    </row>
    <row r="1861" spans="1:1">
      <c r="A1861" s="77"/>
    </row>
    <row r="1862" spans="1:1">
      <c r="A1862" s="77"/>
    </row>
    <row r="1863" spans="1:1">
      <c r="A1863" s="77"/>
    </row>
    <row r="1864" spans="1:1">
      <c r="A1864" s="77"/>
    </row>
    <row r="1865" spans="1:1">
      <c r="A1865" s="77"/>
    </row>
    <row r="1866" spans="1:1">
      <c r="A1866" s="77"/>
    </row>
    <row r="1867" spans="1:1">
      <c r="A1867" s="77"/>
    </row>
    <row r="1868" spans="1:1">
      <c r="A1868" s="77"/>
    </row>
    <row r="1869" spans="1:1">
      <c r="A1869" s="77"/>
    </row>
    <row r="1870" spans="1:1">
      <c r="A1870" s="77"/>
    </row>
    <row r="1871" spans="1:1">
      <c r="A1871" s="77"/>
    </row>
    <row r="1872" spans="1:1">
      <c r="A1872" s="77"/>
    </row>
    <row r="1873" spans="1:1">
      <c r="A1873" s="77"/>
    </row>
    <row r="1874" spans="1:1">
      <c r="A1874" s="77"/>
    </row>
    <row r="1875" spans="1:1">
      <c r="A1875" s="77"/>
    </row>
    <row r="1876" spans="1:1">
      <c r="A1876" s="77"/>
    </row>
    <row r="1877" spans="1:1">
      <c r="A1877" s="77"/>
    </row>
    <row r="1878" spans="1:1">
      <c r="A1878" s="77"/>
    </row>
    <row r="1879" spans="1:1">
      <c r="A1879" s="77"/>
    </row>
    <row r="1880" spans="1:1">
      <c r="A1880" s="77"/>
    </row>
    <row r="1881" spans="1:1">
      <c r="A1881" s="77"/>
    </row>
    <row r="1882" spans="1:1">
      <c r="A1882" s="77"/>
    </row>
    <row r="1883" spans="1:1">
      <c r="A1883" s="77"/>
    </row>
    <row r="1884" spans="1:1">
      <c r="A1884" s="77"/>
    </row>
    <row r="1885" spans="1:1">
      <c r="A1885" s="77"/>
    </row>
    <row r="1886" spans="1:1">
      <c r="A1886" s="77"/>
    </row>
    <row r="1887" spans="1:1">
      <c r="A1887" s="77"/>
    </row>
    <row r="1888" spans="1:1">
      <c r="A1888" s="77"/>
    </row>
    <row r="1889" spans="1:1">
      <c r="A1889" s="77"/>
    </row>
    <row r="1890" spans="1:1">
      <c r="A1890" s="77"/>
    </row>
    <row r="1891" spans="1:1">
      <c r="A1891" s="77"/>
    </row>
    <row r="1892" spans="1:1">
      <c r="A1892" s="77"/>
    </row>
    <row r="1893" spans="1:1">
      <c r="A1893" s="77"/>
    </row>
    <row r="1894" spans="1:1">
      <c r="A1894" s="77"/>
    </row>
    <row r="1895" spans="1:1">
      <c r="A1895" s="77"/>
    </row>
    <row r="1896" spans="1:1">
      <c r="A1896" s="77"/>
    </row>
    <row r="1897" spans="1:1">
      <c r="A1897" s="77"/>
    </row>
    <row r="1898" spans="1:1">
      <c r="A1898" s="77"/>
    </row>
    <row r="1899" spans="1:1">
      <c r="A1899" s="77"/>
    </row>
    <row r="1900" spans="1:1">
      <c r="A1900" s="77"/>
    </row>
    <row r="1901" spans="1:1">
      <c r="A1901" s="77"/>
    </row>
    <row r="1902" spans="1:1">
      <c r="A1902" s="77"/>
    </row>
    <row r="1903" spans="1:1">
      <c r="A1903" s="77"/>
    </row>
    <row r="1904" spans="1:1">
      <c r="A1904" s="77"/>
    </row>
    <row r="1905" spans="1:1">
      <c r="A1905" s="77"/>
    </row>
    <row r="1906" spans="1:1">
      <c r="A1906" s="77"/>
    </row>
    <row r="1907" spans="1:1">
      <c r="A1907" s="77"/>
    </row>
    <row r="1908" spans="1:1">
      <c r="A1908" s="77"/>
    </row>
    <row r="1909" spans="1:1">
      <c r="A1909" s="77"/>
    </row>
    <row r="1910" spans="1:1">
      <c r="A1910" s="77"/>
    </row>
    <row r="1911" spans="1:1">
      <c r="A1911" s="77"/>
    </row>
    <row r="1912" spans="1:1">
      <c r="A1912" s="77"/>
    </row>
    <row r="1913" spans="1:1">
      <c r="A1913" s="77"/>
    </row>
    <row r="1914" spans="1:1">
      <c r="A1914" s="77"/>
    </row>
    <row r="1915" spans="1:1">
      <c r="A1915" s="77"/>
    </row>
    <row r="1916" spans="1:1">
      <c r="A1916" s="77"/>
    </row>
    <row r="1917" spans="1:1">
      <c r="A1917" s="77"/>
    </row>
    <row r="1918" spans="1:1">
      <c r="A1918" s="77"/>
    </row>
    <row r="1919" spans="1:1">
      <c r="A1919" s="77"/>
    </row>
    <row r="1920" spans="1:1">
      <c r="A1920" s="77"/>
    </row>
    <row r="1921" spans="1:1">
      <c r="A1921" s="77"/>
    </row>
    <row r="1922" spans="1:1">
      <c r="A1922" s="77"/>
    </row>
    <row r="1923" spans="1:1">
      <c r="A1923" s="77"/>
    </row>
    <row r="1924" spans="1:1">
      <c r="A1924" s="77"/>
    </row>
    <row r="1925" spans="1:1">
      <c r="A1925" s="77"/>
    </row>
    <row r="1926" spans="1:1">
      <c r="A1926" s="77"/>
    </row>
    <row r="1927" spans="1:1">
      <c r="A1927" s="77"/>
    </row>
    <row r="1928" spans="1:1">
      <c r="A1928" s="77"/>
    </row>
    <row r="1929" spans="1:1">
      <c r="A1929" s="77"/>
    </row>
    <row r="1930" spans="1:1">
      <c r="A1930" s="77"/>
    </row>
    <row r="1931" spans="1:1">
      <c r="A1931" s="77"/>
    </row>
    <row r="1932" spans="1:1">
      <c r="A1932" s="77"/>
    </row>
    <row r="1933" spans="1:1">
      <c r="A1933" s="77"/>
    </row>
    <row r="1934" spans="1:1">
      <c r="A1934" s="77"/>
    </row>
    <row r="1935" spans="1:1">
      <c r="A1935" s="77"/>
    </row>
    <row r="1936" spans="1:1">
      <c r="A1936" s="77"/>
    </row>
    <row r="1937" spans="1:1">
      <c r="A1937" s="77"/>
    </row>
    <row r="1938" spans="1:1">
      <c r="A1938" s="77"/>
    </row>
    <row r="1939" spans="1:1">
      <c r="A1939" s="77"/>
    </row>
    <row r="1940" spans="1:1">
      <c r="A1940" s="77"/>
    </row>
    <row r="1941" spans="1:1">
      <c r="A1941" s="77"/>
    </row>
    <row r="1942" spans="1:1">
      <c r="A1942" s="77"/>
    </row>
    <row r="1943" spans="1:1">
      <c r="A1943" s="77"/>
    </row>
    <row r="1944" spans="1:1">
      <c r="A1944" s="77"/>
    </row>
    <row r="1945" spans="1:1">
      <c r="A1945" s="77"/>
    </row>
    <row r="1946" spans="1:1">
      <c r="A1946" s="77"/>
    </row>
    <row r="1947" spans="1:1">
      <c r="A1947" s="77"/>
    </row>
    <row r="1948" spans="1:1">
      <c r="A1948" s="77"/>
    </row>
    <row r="1949" spans="1:1">
      <c r="A1949" s="77"/>
    </row>
    <row r="1950" spans="1:1">
      <c r="A1950" s="77"/>
    </row>
    <row r="1951" spans="1:1">
      <c r="A1951" s="77"/>
    </row>
    <row r="1952" spans="1:1">
      <c r="A1952" s="77"/>
    </row>
    <row r="1953" spans="1:1">
      <c r="A1953" s="77"/>
    </row>
    <row r="1954" spans="1:1">
      <c r="A1954" s="77"/>
    </row>
    <row r="1955" spans="1:1">
      <c r="A1955" s="77"/>
    </row>
    <row r="1956" spans="1:1">
      <c r="A1956" s="77"/>
    </row>
    <row r="1957" spans="1:1">
      <c r="A1957" s="77"/>
    </row>
    <row r="1958" spans="1:1">
      <c r="A1958" s="77"/>
    </row>
    <row r="1959" spans="1:1">
      <c r="A1959" s="77"/>
    </row>
    <row r="1960" spans="1:1">
      <c r="A1960" s="77"/>
    </row>
    <row r="1961" spans="1:1">
      <c r="A1961" s="77"/>
    </row>
    <row r="1962" spans="1:1">
      <c r="A1962" s="77"/>
    </row>
    <row r="1963" spans="1:1">
      <c r="A1963" s="77"/>
    </row>
    <row r="1964" spans="1:1">
      <c r="A1964" s="77"/>
    </row>
    <row r="1965" spans="1:1">
      <c r="A1965" s="77"/>
    </row>
    <row r="1966" spans="1:1">
      <c r="A1966" s="77"/>
    </row>
    <row r="1967" spans="1:1">
      <c r="A1967" s="77"/>
    </row>
    <row r="1968" spans="1:1">
      <c r="A1968" s="77"/>
    </row>
    <row r="1969" spans="1:1">
      <c r="A1969" s="77"/>
    </row>
    <row r="1970" spans="1:1">
      <c r="A1970" s="77"/>
    </row>
    <row r="1971" spans="1:1">
      <c r="A1971" s="77"/>
    </row>
    <row r="1972" spans="1:1">
      <c r="A1972" s="77"/>
    </row>
    <row r="1973" spans="1:1">
      <c r="A1973" s="77"/>
    </row>
    <row r="1974" spans="1:1">
      <c r="A1974" s="77"/>
    </row>
    <row r="1975" spans="1:1">
      <c r="A1975" s="77"/>
    </row>
    <row r="1976" spans="1:1">
      <c r="A1976" s="77"/>
    </row>
    <row r="1977" spans="1:1">
      <c r="A1977" s="77"/>
    </row>
    <row r="1978" spans="1:1">
      <c r="A1978" s="77"/>
    </row>
    <row r="1979" spans="1:1">
      <c r="A1979" s="77"/>
    </row>
    <row r="1980" spans="1:1">
      <c r="A1980" s="77"/>
    </row>
    <row r="1981" spans="1:1">
      <c r="A1981" s="77"/>
    </row>
    <row r="1982" spans="1:1">
      <c r="A1982" s="77"/>
    </row>
    <row r="1983" spans="1:1">
      <c r="A1983" s="77"/>
    </row>
    <row r="1984" spans="1:1">
      <c r="A1984" s="77"/>
    </row>
    <row r="1985" spans="1:1">
      <c r="A1985" s="77"/>
    </row>
    <row r="1986" spans="1:1">
      <c r="A1986" s="77"/>
    </row>
    <row r="1987" spans="1:1">
      <c r="A1987" s="77"/>
    </row>
    <row r="1988" spans="1:1">
      <c r="A1988" s="77"/>
    </row>
    <row r="1989" spans="1:1">
      <c r="A1989" s="77"/>
    </row>
    <row r="1990" spans="1:1">
      <c r="A1990" s="77"/>
    </row>
    <row r="1991" spans="1:1">
      <c r="A1991" s="77"/>
    </row>
    <row r="1992" spans="1:1">
      <c r="A1992" s="77"/>
    </row>
    <row r="1993" spans="1:1">
      <c r="A1993" s="77"/>
    </row>
    <row r="1994" spans="1:1">
      <c r="A1994" s="77"/>
    </row>
    <row r="1995" spans="1:1">
      <c r="A1995" s="77"/>
    </row>
    <row r="1996" spans="1:1">
      <c r="A1996" s="77"/>
    </row>
    <row r="1997" spans="1:1">
      <c r="A1997" s="77"/>
    </row>
    <row r="1998" spans="1:1">
      <c r="A1998" s="77"/>
    </row>
    <row r="1999" spans="1:1">
      <c r="A1999" s="77"/>
    </row>
    <row r="2000" spans="1:1">
      <c r="A2000" s="77"/>
    </row>
    <row r="2001" spans="1:1">
      <c r="A2001" s="77"/>
    </row>
    <row r="2002" spans="1:1">
      <c r="A2002" s="77"/>
    </row>
    <row r="2003" spans="1:1">
      <c r="A2003" s="77"/>
    </row>
    <row r="2004" spans="1:1">
      <c r="A2004" s="77"/>
    </row>
    <row r="2005" spans="1:1">
      <c r="A2005" s="77"/>
    </row>
    <row r="2006" spans="1:1">
      <c r="A2006" s="77"/>
    </row>
    <row r="2007" spans="1:1">
      <c r="A2007" s="77"/>
    </row>
    <row r="2008" spans="1:1">
      <c r="A2008" s="77"/>
    </row>
    <row r="2009" spans="1:1">
      <c r="A2009" s="77"/>
    </row>
    <row r="2010" spans="1:1">
      <c r="A2010" s="77"/>
    </row>
    <row r="2011" spans="1:1">
      <c r="A2011" s="77"/>
    </row>
    <row r="2012" spans="1:1">
      <c r="A2012" s="77"/>
    </row>
    <row r="2013" spans="1:1">
      <c r="A2013" s="77"/>
    </row>
    <row r="2014" spans="1:1">
      <c r="A2014" s="77"/>
    </row>
    <row r="2015" spans="1:1">
      <c r="A2015" s="77"/>
    </row>
    <row r="2016" spans="1:1">
      <c r="A2016" s="77"/>
    </row>
    <row r="2017" spans="1:1">
      <c r="A2017" s="77"/>
    </row>
    <row r="2018" spans="1:1">
      <c r="A2018" s="77"/>
    </row>
    <row r="2019" spans="1:1">
      <c r="A2019" s="77"/>
    </row>
    <row r="2020" spans="1:1">
      <c r="A2020" s="77"/>
    </row>
    <row r="2021" spans="1:1">
      <c r="A2021" s="77"/>
    </row>
    <row r="2022" spans="1:1">
      <c r="A2022" s="77"/>
    </row>
    <row r="2023" spans="1:1">
      <c r="A2023" s="77"/>
    </row>
    <row r="2024" spans="1:1">
      <c r="A2024" s="77"/>
    </row>
    <row r="2025" spans="1:1">
      <c r="A2025" s="77"/>
    </row>
    <row r="2026" spans="1:1">
      <c r="A2026" s="77"/>
    </row>
    <row r="2027" spans="1:1">
      <c r="A2027" s="77"/>
    </row>
    <row r="2028" spans="1:1">
      <c r="A2028" s="77"/>
    </row>
    <row r="2029" spans="1:1">
      <c r="A2029" s="77"/>
    </row>
    <row r="2030" spans="1:1">
      <c r="A2030" s="77"/>
    </row>
    <row r="2031" spans="1:1">
      <c r="A2031" s="77"/>
    </row>
    <row r="2032" spans="1:1">
      <c r="A2032" s="77"/>
    </row>
    <row r="2033" spans="1:1">
      <c r="A2033" s="77"/>
    </row>
    <row r="2034" spans="1:1">
      <c r="A2034" s="77"/>
    </row>
    <row r="2035" spans="1:1">
      <c r="A2035" s="77"/>
    </row>
    <row r="2036" spans="1:1">
      <c r="A2036" s="77"/>
    </row>
    <row r="2037" spans="1:1">
      <c r="A2037" s="77"/>
    </row>
    <row r="2038" spans="1:1">
      <c r="A2038" s="77"/>
    </row>
    <row r="2039" spans="1:1">
      <c r="A2039" s="77"/>
    </row>
    <row r="2040" spans="1:1">
      <c r="A2040" s="77"/>
    </row>
    <row r="2041" spans="1:1">
      <c r="A2041" s="77"/>
    </row>
    <row r="2042" spans="1:1">
      <c r="A2042" s="77"/>
    </row>
    <row r="2043" spans="1:1">
      <c r="A2043" s="77"/>
    </row>
    <row r="2044" spans="1:1">
      <c r="A2044" s="77"/>
    </row>
    <row r="2045" spans="1:1">
      <c r="A2045" s="77"/>
    </row>
    <row r="2046" spans="1:1">
      <c r="A2046" s="77"/>
    </row>
    <row r="2047" spans="1:1">
      <c r="A2047" s="77"/>
    </row>
    <row r="2048" spans="1:1">
      <c r="A2048" s="77"/>
    </row>
    <row r="2049" spans="1:1">
      <c r="A2049" s="77"/>
    </row>
    <row r="2050" spans="1:1">
      <c r="A2050" s="77"/>
    </row>
    <row r="2051" spans="1:1">
      <c r="A2051" s="77"/>
    </row>
    <row r="2052" spans="1:1">
      <c r="A2052" s="77"/>
    </row>
    <row r="2053" spans="1:1">
      <c r="A2053" s="77"/>
    </row>
    <row r="2054" spans="1:1">
      <c r="A2054" s="77"/>
    </row>
    <row r="2055" spans="1:1">
      <c r="A2055" s="77"/>
    </row>
    <row r="2056" spans="1:1">
      <c r="A2056" s="77"/>
    </row>
    <row r="2057" spans="1:1">
      <c r="A2057" s="77"/>
    </row>
    <row r="2058" spans="1:1">
      <c r="A2058" s="77"/>
    </row>
    <row r="2059" spans="1:1">
      <c r="A2059" s="77"/>
    </row>
    <row r="2060" spans="1:1">
      <c r="A2060" s="77"/>
    </row>
    <row r="2061" spans="1:1">
      <c r="A2061" s="77"/>
    </row>
    <row r="2062" spans="1:1">
      <c r="A2062" s="77"/>
    </row>
    <row r="2063" spans="1:1">
      <c r="A2063" s="77"/>
    </row>
    <row r="2064" spans="1:1">
      <c r="A2064" s="77"/>
    </row>
    <row r="2065" spans="1:1">
      <c r="A2065" s="77"/>
    </row>
    <row r="2066" spans="1:1">
      <c r="A2066" s="77"/>
    </row>
    <row r="2067" spans="1:1">
      <c r="A2067" s="77"/>
    </row>
    <row r="2068" spans="1:1">
      <c r="A2068" s="77"/>
    </row>
    <row r="2069" spans="1:1">
      <c r="A2069" s="77"/>
    </row>
    <row r="2070" spans="1:1">
      <c r="A2070" s="77"/>
    </row>
    <row r="2071" spans="1:1">
      <c r="A2071" s="77"/>
    </row>
    <row r="2072" spans="1:1">
      <c r="A2072" s="77"/>
    </row>
    <row r="2073" spans="1:1">
      <c r="A2073" s="77"/>
    </row>
    <row r="2074" spans="1:1">
      <c r="A2074" s="77"/>
    </row>
    <row r="2075" spans="1:1">
      <c r="A2075" s="77"/>
    </row>
    <row r="2076" spans="1:1">
      <c r="A2076" s="77"/>
    </row>
    <row r="2077" spans="1:1">
      <c r="A2077" s="77"/>
    </row>
    <row r="2078" spans="1:1">
      <c r="A2078" s="77"/>
    </row>
    <row r="2079" spans="1:1">
      <c r="A2079" s="77"/>
    </row>
    <row r="2080" spans="1:1">
      <c r="A2080" s="77"/>
    </row>
    <row r="2081" spans="1:1">
      <c r="A2081" s="77"/>
    </row>
    <row r="2082" spans="1:1">
      <c r="A2082" s="77"/>
    </row>
    <row r="2083" spans="1:1">
      <c r="A2083" s="77"/>
    </row>
    <row r="2084" spans="1:1">
      <c r="A2084" s="77"/>
    </row>
    <row r="2085" spans="1:1">
      <c r="A2085" s="77"/>
    </row>
    <row r="2086" spans="1:1">
      <c r="A2086" s="77"/>
    </row>
    <row r="2087" spans="1:1">
      <c r="A2087" s="77"/>
    </row>
    <row r="2088" spans="1:1">
      <c r="A2088" s="77"/>
    </row>
    <row r="2089" spans="1:1">
      <c r="A2089" s="77"/>
    </row>
    <row r="2090" spans="1:1">
      <c r="A2090" s="77"/>
    </row>
    <row r="2091" spans="1:1">
      <c r="A2091" s="77"/>
    </row>
    <row r="2092" spans="1:1">
      <c r="A2092" s="77"/>
    </row>
    <row r="2093" spans="1:1">
      <c r="A2093" s="77"/>
    </row>
    <row r="2094" spans="1:1">
      <c r="A2094" s="77"/>
    </row>
    <row r="2095" spans="1:1">
      <c r="A2095" s="77"/>
    </row>
    <row r="2096" spans="1:1">
      <c r="A2096" s="77"/>
    </row>
    <row r="2097" spans="1:1">
      <c r="A2097" s="77"/>
    </row>
    <row r="2098" spans="1:1">
      <c r="A2098" s="77"/>
    </row>
    <row r="2099" spans="1:1">
      <c r="A2099" s="77"/>
    </row>
    <row r="2100" spans="1:1">
      <c r="A2100" s="77"/>
    </row>
    <row r="2101" spans="1:1">
      <c r="A2101" s="77"/>
    </row>
    <row r="2102" spans="1:1">
      <c r="A2102" s="77"/>
    </row>
    <row r="2103" spans="1:1">
      <c r="A2103" s="77"/>
    </row>
    <row r="2104" spans="1:1">
      <c r="A2104" s="77"/>
    </row>
    <row r="2105" spans="1:1">
      <c r="A2105" s="77"/>
    </row>
    <row r="2106" spans="1:1">
      <c r="A2106" s="77"/>
    </row>
    <row r="2107" spans="1:1">
      <c r="A2107" s="77"/>
    </row>
    <row r="2108" spans="1:1">
      <c r="A2108" s="77"/>
    </row>
    <row r="2109" spans="1:1">
      <c r="A2109" s="77"/>
    </row>
    <row r="2110" spans="1:1">
      <c r="A2110" s="77"/>
    </row>
    <row r="2111" spans="1:1">
      <c r="A2111" s="77"/>
    </row>
    <row r="2112" spans="1:1">
      <c r="A2112" s="77"/>
    </row>
    <row r="2113" spans="1:1">
      <c r="A2113" s="77"/>
    </row>
    <row r="2114" spans="1:1">
      <c r="A2114" s="77"/>
    </row>
    <row r="2115" spans="1:1">
      <c r="A2115" s="77"/>
    </row>
    <row r="2116" spans="1:1">
      <c r="A2116" s="77"/>
    </row>
    <row r="2117" spans="1:1">
      <c r="A2117" s="77"/>
    </row>
    <row r="2118" spans="1:1">
      <c r="A2118" s="77"/>
    </row>
    <row r="2119" spans="1:1">
      <c r="A2119" s="77"/>
    </row>
    <row r="2120" spans="1:1">
      <c r="A2120" s="77"/>
    </row>
    <row r="2121" spans="1:1">
      <c r="A2121" s="77"/>
    </row>
    <row r="2122" spans="1:1">
      <c r="A2122" s="77"/>
    </row>
    <row r="2123" spans="1:1">
      <c r="A2123" s="77"/>
    </row>
    <row r="2124" spans="1:1">
      <c r="A2124" s="77"/>
    </row>
    <row r="2125" spans="1:1">
      <c r="A2125" s="77"/>
    </row>
    <row r="2126" spans="1:1">
      <c r="A2126" s="77"/>
    </row>
    <row r="2127" spans="1:1">
      <c r="A2127" s="77"/>
    </row>
    <row r="2128" spans="1:1">
      <c r="A2128" s="77"/>
    </row>
    <row r="2129" spans="1:1">
      <c r="A2129" s="77"/>
    </row>
    <row r="2130" spans="1:1">
      <c r="A2130" s="77"/>
    </row>
    <row r="2131" spans="1:1">
      <c r="A2131" s="77"/>
    </row>
    <row r="2132" spans="1:1">
      <c r="A2132" s="77"/>
    </row>
    <row r="2133" spans="1:1">
      <c r="A2133" s="77"/>
    </row>
    <row r="2134" spans="1:1">
      <c r="A2134" s="77"/>
    </row>
    <row r="2135" spans="1:1">
      <c r="A2135" s="77"/>
    </row>
    <row r="2136" spans="1:1">
      <c r="A2136" s="77"/>
    </row>
    <row r="2137" spans="1:1">
      <c r="A2137" s="77"/>
    </row>
    <row r="2138" spans="1:1">
      <c r="A2138" s="77"/>
    </row>
    <row r="2139" spans="1:1">
      <c r="A2139" s="77"/>
    </row>
    <row r="2140" spans="1:1">
      <c r="A2140" s="77"/>
    </row>
    <row r="2141" spans="1:1">
      <c r="A2141" s="77"/>
    </row>
    <row r="2142" spans="1:1">
      <c r="A2142" s="77"/>
    </row>
    <row r="2143" spans="1:1">
      <c r="A2143" s="77"/>
    </row>
    <row r="2144" spans="1:1">
      <c r="A2144" s="77"/>
    </row>
    <row r="2145" spans="1:1">
      <c r="A2145" s="77"/>
    </row>
    <row r="2146" spans="1:1">
      <c r="A2146" s="77"/>
    </row>
    <row r="2147" spans="1:1">
      <c r="A2147" s="77"/>
    </row>
    <row r="2148" spans="1:1">
      <c r="A2148" s="77"/>
    </row>
    <row r="2149" spans="1:1">
      <c r="A2149" s="77"/>
    </row>
    <row r="2150" spans="1:1">
      <c r="A2150" s="77"/>
    </row>
    <row r="2151" spans="1:1">
      <c r="A2151" s="77"/>
    </row>
    <row r="2152" spans="1:1">
      <c r="A2152" s="77"/>
    </row>
    <row r="2153" spans="1:1">
      <c r="A2153" s="77"/>
    </row>
    <row r="2154" spans="1:1">
      <c r="A2154" s="77"/>
    </row>
    <row r="2155" spans="1:1">
      <c r="A2155" s="77"/>
    </row>
    <row r="2156" spans="1:1">
      <c r="A2156" s="77"/>
    </row>
    <row r="2157" spans="1:1">
      <c r="A2157" s="77"/>
    </row>
    <row r="2158" spans="1:1">
      <c r="A2158" s="77"/>
    </row>
    <row r="2159" spans="1:1">
      <c r="A2159" s="77"/>
    </row>
    <row r="2160" spans="1:1">
      <c r="A2160" s="77"/>
    </row>
    <row r="2161" spans="1:1">
      <c r="A2161" s="77"/>
    </row>
    <row r="2162" spans="1:1">
      <c r="A2162" s="77"/>
    </row>
    <row r="2163" spans="1:1">
      <c r="A2163" s="77"/>
    </row>
    <row r="2164" spans="1:1">
      <c r="A2164" s="77"/>
    </row>
    <row r="2165" spans="1:1">
      <c r="A2165" s="77"/>
    </row>
    <row r="2166" spans="1:1">
      <c r="A2166" s="77"/>
    </row>
    <row r="2167" spans="1:1">
      <c r="A2167" s="77"/>
    </row>
    <row r="2168" spans="1:1">
      <c r="A2168" s="77"/>
    </row>
    <row r="2169" spans="1:1">
      <c r="A2169" s="77"/>
    </row>
    <row r="2170" spans="1:1">
      <c r="A2170" s="77"/>
    </row>
    <row r="2171" spans="1:1">
      <c r="A2171" s="77"/>
    </row>
    <row r="2172" spans="1:1">
      <c r="A2172" s="77"/>
    </row>
    <row r="2173" spans="1:1">
      <c r="A2173" s="77"/>
    </row>
    <row r="2174" spans="1:1">
      <c r="A2174" s="77"/>
    </row>
    <row r="2175" spans="1:1">
      <c r="A2175" s="77"/>
    </row>
    <row r="2176" spans="1:1">
      <c r="A2176" s="77"/>
    </row>
    <row r="2177" spans="1:1">
      <c r="A2177" s="77"/>
    </row>
    <row r="2178" spans="1:1">
      <c r="A2178" s="77"/>
    </row>
    <row r="2179" spans="1:1">
      <c r="A2179" s="77"/>
    </row>
    <row r="2180" spans="1:1">
      <c r="A2180" s="77"/>
    </row>
    <row r="2181" spans="1:1">
      <c r="A2181" s="77"/>
    </row>
    <row r="2182" spans="1:1">
      <c r="A2182" s="77"/>
    </row>
    <row r="2183" spans="1:1">
      <c r="A2183" s="77"/>
    </row>
    <row r="2184" spans="1:1">
      <c r="A2184" s="77"/>
    </row>
    <row r="2185" spans="1:1">
      <c r="A2185" s="77"/>
    </row>
    <row r="2186" spans="1:1">
      <c r="A2186" s="77"/>
    </row>
    <row r="2187" spans="1:1">
      <c r="A2187" s="77"/>
    </row>
    <row r="2188" spans="1:1">
      <c r="A2188" s="77"/>
    </row>
    <row r="2189" spans="1:1">
      <c r="A2189" s="77"/>
    </row>
    <row r="2190" spans="1:1">
      <c r="A2190" s="77"/>
    </row>
    <row r="2191" spans="1:1">
      <c r="A2191" s="77"/>
    </row>
    <row r="2192" spans="1:1">
      <c r="A2192" s="77"/>
    </row>
    <row r="2193" spans="1:1">
      <c r="A2193" s="77"/>
    </row>
    <row r="2194" spans="1:1">
      <c r="A2194" s="77"/>
    </row>
    <row r="2195" spans="1:1">
      <c r="A2195" s="77"/>
    </row>
    <row r="2196" spans="1:1">
      <c r="A2196" s="77"/>
    </row>
    <row r="2197" spans="1:1">
      <c r="A2197" s="77"/>
    </row>
    <row r="2198" spans="1:1">
      <c r="A2198" s="77"/>
    </row>
    <row r="2199" spans="1:1">
      <c r="A2199" s="77"/>
    </row>
    <row r="2200" spans="1:1">
      <c r="A2200" s="77"/>
    </row>
    <row r="2201" spans="1:1">
      <c r="A2201" s="77"/>
    </row>
    <row r="2202" spans="1:1">
      <c r="A2202" s="77"/>
    </row>
    <row r="2203" spans="1:1">
      <c r="A2203" s="77"/>
    </row>
    <row r="2204" spans="1:1">
      <c r="A2204" s="77"/>
    </row>
    <row r="2205" spans="1:1">
      <c r="A2205" s="77"/>
    </row>
    <row r="2206" spans="1:1">
      <c r="A2206" s="77"/>
    </row>
    <row r="2207" spans="1:1">
      <c r="A2207" s="77"/>
    </row>
    <row r="2208" spans="1:1">
      <c r="A2208" s="77"/>
    </row>
    <row r="2209" spans="1:1">
      <c r="A2209" s="77"/>
    </row>
    <row r="2210" spans="1:1">
      <c r="A2210" s="77"/>
    </row>
    <row r="2211" spans="1:1">
      <c r="A2211" s="77"/>
    </row>
    <row r="2212" spans="1:1">
      <c r="A2212" s="77"/>
    </row>
    <row r="2213" spans="1:1">
      <c r="A2213" s="77"/>
    </row>
    <row r="2214" spans="1:1">
      <c r="A2214" s="77"/>
    </row>
    <row r="2215" spans="1:1">
      <c r="A2215" s="77"/>
    </row>
    <row r="2216" spans="1:1">
      <c r="A2216" s="77"/>
    </row>
    <row r="2217" spans="1:1">
      <c r="A2217" s="77"/>
    </row>
    <row r="2218" spans="1:1">
      <c r="A2218" s="77"/>
    </row>
    <row r="2219" spans="1:1">
      <c r="A2219" s="77"/>
    </row>
    <row r="2220" spans="1:1">
      <c r="A2220" s="77"/>
    </row>
    <row r="2221" spans="1:1">
      <c r="A2221" s="77"/>
    </row>
    <row r="2222" spans="1:1">
      <c r="A2222" s="77"/>
    </row>
    <row r="2223" spans="1:1">
      <c r="A2223" s="77"/>
    </row>
    <row r="2224" spans="1:1">
      <c r="A2224" s="77"/>
    </row>
    <row r="2225" spans="1:1">
      <c r="A2225" s="77"/>
    </row>
    <row r="2226" spans="1:1">
      <c r="A2226" s="77"/>
    </row>
    <row r="2227" spans="1:1">
      <c r="A2227" s="77"/>
    </row>
    <row r="2228" spans="1:1">
      <c r="A2228" s="77"/>
    </row>
    <row r="2229" spans="1:1">
      <c r="A2229" s="77"/>
    </row>
    <row r="2230" spans="1:1">
      <c r="A2230" s="77"/>
    </row>
    <row r="2231" spans="1:1">
      <c r="A2231" s="77"/>
    </row>
    <row r="2232" spans="1:1">
      <c r="A2232" s="77"/>
    </row>
    <row r="2233" spans="1:1">
      <c r="A2233" s="77"/>
    </row>
    <row r="2234" spans="1:1">
      <c r="A2234" s="77"/>
    </row>
    <row r="2235" spans="1:1">
      <c r="A2235" s="77"/>
    </row>
    <row r="2236" spans="1:1">
      <c r="A2236" s="77"/>
    </row>
    <row r="2237" spans="1:1">
      <c r="A2237" s="77"/>
    </row>
    <row r="2238" spans="1:1">
      <c r="A2238" s="77"/>
    </row>
    <row r="2239" spans="1:1">
      <c r="A2239" s="77"/>
    </row>
    <row r="2240" spans="1:1">
      <c r="A2240" s="77"/>
    </row>
    <row r="2241" spans="1:1">
      <c r="A2241" s="77"/>
    </row>
    <row r="2242" spans="1:1">
      <c r="A2242" s="77"/>
    </row>
    <row r="2243" spans="1:1">
      <c r="A2243" s="77"/>
    </row>
    <row r="2244" spans="1:1">
      <c r="A2244" s="77"/>
    </row>
    <row r="2245" spans="1:1">
      <c r="A2245" s="77"/>
    </row>
    <row r="2246" spans="1:1">
      <c r="A2246" s="77"/>
    </row>
    <row r="2247" spans="1:1">
      <c r="A2247" s="77"/>
    </row>
    <row r="2248" spans="1:1">
      <c r="A2248" s="77"/>
    </row>
    <row r="2249" spans="1:1">
      <c r="A2249" s="77"/>
    </row>
    <row r="2250" spans="1:1">
      <c r="A2250" s="77"/>
    </row>
    <row r="2251" spans="1:1">
      <c r="A2251" s="77"/>
    </row>
    <row r="2252" spans="1:1">
      <c r="A2252" s="77"/>
    </row>
    <row r="2253" spans="1:1">
      <c r="A2253" s="77"/>
    </row>
    <row r="2254" spans="1:1">
      <c r="A2254" s="77"/>
    </row>
    <row r="2255" spans="1:1">
      <c r="A2255" s="77"/>
    </row>
    <row r="2256" spans="1:1">
      <c r="A2256" s="77"/>
    </row>
    <row r="2257" spans="1:1">
      <c r="A2257" s="77"/>
    </row>
    <row r="2258" spans="1:1">
      <c r="A2258" s="77"/>
    </row>
    <row r="2259" spans="1:1">
      <c r="A2259" s="77"/>
    </row>
    <row r="2260" spans="1:1">
      <c r="A2260" s="77"/>
    </row>
    <row r="2261" spans="1:1">
      <c r="A2261" s="77"/>
    </row>
    <row r="2262" spans="1:1">
      <c r="A2262" s="77"/>
    </row>
    <row r="2263" spans="1:1">
      <c r="A2263" s="77"/>
    </row>
    <row r="2264" spans="1:1">
      <c r="A2264" s="77"/>
    </row>
    <row r="2265" spans="1:1">
      <c r="A2265" s="77"/>
    </row>
    <row r="2266" spans="1:1">
      <c r="A2266" s="77"/>
    </row>
    <row r="2267" spans="1:1">
      <c r="A2267" s="77"/>
    </row>
    <row r="2268" spans="1:1">
      <c r="A2268" s="77"/>
    </row>
    <row r="2269" spans="1:1">
      <c r="A2269" s="77"/>
    </row>
    <row r="2270" spans="1:1">
      <c r="A2270" s="77"/>
    </row>
    <row r="2271" spans="1:1">
      <c r="A2271" s="77"/>
    </row>
    <row r="2272" spans="1:1">
      <c r="A2272" s="77"/>
    </row>
    <row r="2273" spans="1:1">
      <c r="A2273" s="77"/>
    </row>
    <row r="2274" spans="1:1">
      <c r="A2274" s="77"/>
    </row>
    <row r="2275" spans="1:1">
      <c r="A2275" s="77"/>
    </row>
    <row r="2276" spans="1:1">
      <c r="A2276" s="77"/>
    </row>
    <row r="2277" spans="1:1">
      <c r="A2277" s="77"/>
    </row>
    <row r="2278" spans="1:1">
      <c r="A2278" s="77"/>
    </row>
    <row r="2279" spans="1:1">
      <c r="A2279" s="77"/>
    </row>
    <row r="2280" spans="1:1">
      <c r="A2280" s="77"/>
    </row>
    <row r="2281" spans="1:1">
      <c r="A2281" s="77"/>
    </row>
    <row r="2282" spans="1:1">
      <c r="A2282" s="77"/>
    </row>
    <row r="2283" spans="1:1">
      <c r="A2283" s="77"/>
    </row>
    <row r="2284" spans="1:1">
      <c r="A2284" s="77"/>
    </row>
    <row r="2285" spans="1:1">
      <c r="A2285" s="77"/>
    </row>
    <row r="2286" spans="1:1">
      <c r="A2286" s="77"/>
    </row>
    <row r="2287" spans="1:1">
      <c r="A2287" s="77"/>
    </row>
    <row r="2288" spans="1:1">
      <c r="A2288" s="77"/>
    </row>
    <row r="2289" spans="1:1">
      <c r="A2289" s="77"/>
    </row>
    <row r="2290" spans="1:1">
      <c r="A2290" s="77"/>
    </row>
    <row r="2291" spans="1:1">
      <c r="A2291" s="77"/>
    </row>
    <row r="2292" spans="1:1">
      <c r="A2292" s="77"/>
    </row>
    <row r="2293" spans="1:1">
      <c r="A2293" s="77"/>
    </row>
    <row r="2294" spans="1:1">
      <c r="A2294" s="77"/>
    </row>
    <row r="2295" spans="1:1">
      <c r="A2295" s="77"/>
    </row>
    <row r="2296" spans="1:1">
      <c r="A2296" s="77"/>
    </row>
    <row r="2297" spans="1:1">
      <c r="A2297" s="77"/>
    </row>
    <row r="2298" spans="1:1">
      <c r="A2298" s="77"/>
    </row>
    <row r="2299" spans="1:1">
      <c r="A2299" s="77"/>
    </row>
    <row r="2300" spans="1:1">
      <c r="A2300" s="77"/>
    </row>
    <row r="2301" spans="1:1">
      <c r="A2301" s="77"/>
    </row>
    <row r="2302" spans="1:1">
      <c r="A2302" s="77"/>
    </row>
    <row r="2303" spans="1:1">
      <c r="A2303" s="77"/>
    </row>
    <row r="2304" spans="1:1">
      <c r="A2304" s="77"/>
    </row>
    <row r="2305" spans="1:1">
      <c r="A2305" s="77"/>
    </row>
    <row r="2306" spans="1:1">
      <c r="A2306" s="77"/>
    </row>
    <row r="2307" spans="1:1">
      <c r="A2307" s="77"/>
    </row>
    <row r="2308" spans="1:1">
      <c r="A2308" s="77"/>
    </row>
    <row r="2309" spans="1:1">
      <c r="A2309" s="77"/>
    </row>
    <row r="2310" spans="1:1">
      <c r="A2310" s="77"/>
    </row>
    <row r="2311" spans="1:1">
      <c r="A2311" s="77"/>
    </row>
    <row r="2312" spans="1:1">
      <c r="A2312" s="77"/>
    </row>
    <row r="2313" spans="1:1">
      <c r="A2313" s="77"/>
    </row>
    <row r="2314" spans="1:1">
      <c r="A2314" s="77"/>
    </row>
    <row r="2315" spans="1:1">
      <c r="A2315" s="77"/>
    </row>
    <row r="2316" spans="1:1">
      <c r="A2316" s="77"/>
    </row>
    <row r="2317" spans="1:1">
      <c r="A2317" s="77"/>
    </row>
    <row r="2318" spans="1:1">
      <c r="A2318" s="77"/>
    </row>
    <row r="2319" spans="1:1">
      <c r="A2319" s="77"/>
    </row>
    <row r="2320" spans="1:1">
      <c r="A2320" s="77"/>
    </row>
    <row r="2321" spans="1:1">
      <c r="A2321" s="77"/>
    </row>
    <row r="2322" spans="1:1">
      <c r="A2322" s="77"/>
    </row>
    <row r="2323" spans="1:1">
      <c r="A2323" s="77"/>
    </row>
    <row r="2324" spans="1:1">
      <c r="A2324" s="77"/>
    </row>
    <row r="2325" spans="1:1">
      <c r="A2325" s="77"/>
    </row>
    <row r="2326" spans="1:1">
      <c r="A2326" s="77"/>
    </row>
    <row r="2327" spans="1:1">
      <c r="A2327" s="77"/>
    </row>
    <row r="2328" spans="1:1">
      <c r="A2328" s="77"/>
    </row>
    <row r="2329" spans="1:1">
      <c r="A2329" s="77"/>
    </row>
    <row r="2330" spans="1:1">
      <c r="A2330" s="77"/>
    </row>
    <row r="2331" spans="1:1">
      <c r="A2331" s="77"/>
    </row>
    <row r="2332" spans="1:1">
      <c r="A2332" s="77"/>
    </row>
    <row r="2333" spans="1:1">
      <c r="A2333" s="77"/>
    </row>
    <row r="2334" spans="1:1">
      <c r="A2334" s="77"/>
    </row>
    <row r="2335" spans="1:1">
      <c r="A2335" s="77"/>
    </row>
    <row r="2336" spans="1:1">
      <c r="A2336" s="77"/>
    </row>
    <row r="2337" spans="1:1">
      <c r="A2337" s="77"/>
    </row>
    <row r="2338" spans="1:1">
      <c r="A2338" s="77"/>
    </row>
    <row r="2339" spans="1:1">
      <c r="A2339" s="77"/>
    </row>
    <row r="2340" spans="1:1">
      <c r="A2340" s="77"/>
    </row>
    <row r="2341" spans="1:1">
      <c r="A2341" s="77"/>
    </row>
    <row r="2342" spans="1:1">
      <c r="A2342" s="77"/>
    </row>
    <row r="2343" spans="1:1">
      <c r="A2343" s="77"/>
    </row>
    <row r="2344" spans="1:1">
      <c r="A2344" s="77"/>
    </row>
    <row r="2345" spans="1:1">
      <c r="A2345" s="77"/>
    </row>
    <row r="2346" spans="1:1">
      <c r="A2346" s="77"/>
    </row>
    <row r="2347" spans="1:1">
      <c r="A2347" s="77"/>
    </row>
    <row r="2348" spans="1:1">
      <c r="A2348" s="77"/>
    </row>
    <row r="2349" spans="1:1">
      <c r="A2349" s="77"/>
    </row>
    <row r="2350" spans="1:1">
      <c r="A2350" s="77"/>
    </row>
    <row r="2351" spans="1:1">
      <c r="A2351" s="77"/>
    </row>
    <row r="2352" spans="1:1">
      <c r="A2352" s="77"/>
    </row>
    <row r="2353" spans="1:1">
      <c r="A2353" s="77"/>
    </row>
    <row r="2354" spans="1:1">
      <c r="A2354" s="77"/>
    </row>
    <row r="2355" spans="1:1">
      <c r="A2355" s="77"/>
    </row>
    <row r="2356" spans="1:1">
      <c r="A2356" s="77"/>
    </row>
    <row r="2357" spans="1:1">
      <c r="A2357" s="77"/>
    </row>
    <row r="2358" spans="1:1">
      <c r="A2358" s="77"/>
    </row>
    <row r="2359" spans="1:1">
      <c r="A2359" s="77"/>
    </row>
    <row r="2360" spans="1:1">
      <c r="A2360" s="77"/>
    </row>
    <row r="2361" spans="1:1">
      <c r="A2361" s="77"/>
    </row>
    <row r="2362" spans="1:1">
      <c r="A2362" s="77"/>
    </row>
    <row r="2363" spans="1:1">
      <c r="A2363" s="77"/>
    </row>
    <row r="2364" spans="1:1">
      <c r="A2364" s="77"/>
    </row>
    <row r="2365" spans="1:1">
      <c r="A2365" s="77"/>
    </row>
    <row r="2366" spans="1:1">
      <c r="A2366" s="77"/>
    </row>
    <row r="2367" spans="1:1">
      <c r="A2367" s="77"/>
    </row>
    <row r="2368" spans="1:1">
      <c r="A2368" s="77"/>
    </row>
    <row r="2369" spans="1:1">
      <c r="A2369" s="77"/>
    </row>
    <row r="2370" spans="1:1">
      <c r="A2370" s="77"/>
    </row>
    <row r="2371" spans="1:1">
      <c r="A2371" s="77"/>
    </row>
    <row r="2372" spans="1:1">
      <c r="A2372" s="77"/>
    </row>
    <row r="2373" spans="1:1">
      <c r="A2373" s="77"/>
    </row>
    <row r="2374" spans="1:1">
      <c r="A2374" s="77"/>
    </row>
    <row r="2375" spans="1:1">
      <c r="A2375" s="77"/>
    </row>
    <row r="2376" spans="1:1">
      <c r="A2376" s="77"/>
    </row>
    <row r="2377" spans="1:1">
      <c r="A2377" s="77"/>
    </row>
    <row r="2378" spans="1:1">
      <c r="A2378" s="77"/>
    </row>
    <row r="2379" spans="1:1">
      <c r="A2379" s="77"/>
    </row>
    <row r="2380" spans="1:1">
      <c r="A2380" s="77"/>
    </row>
    <row r="2381" spans="1:1">
      <c r="A2381" s="77"/>
    </row>
    <row r="2382" spans="1:1">
      <c r="A2382" s="77"/>
    </row>
    <row r="2383" spans="1:1">
      <c r="A2383" s="77"/>
    </row>
    <row r="2384" spans="1:1">
      <c r="A2384" s="77"/>
    </row>
    <row r="2385" spans="1:1">
      <c r="A2385" s="77"/>
    </row>
    <row r="2386" spans="1:1">
      <c r="A2386" s="77"/>
    </row>
    <row r="2387" spans="1:1">
      <c r="A2387" s="77"/>
    </row>
    <row r="2388" spans="1:1">
      <c r="A2388" s="77"/>
    </row>
    <row r="2389" spans="1:1">
      <c r="A2389" s="77"/>
    </row>
    <row r="2390" spans="1:1">
      <c r="A2390" s="77"/>
    </row>
    <row r="2391" spans="1:1">
      <c r="A2391" s="77"/>
    </row>
    <row r="2392" spans="1:1">
      <c r="A2392" s="77"/>
    </row>
    <row r="2393" spans="1:1">
      <c r="A2393" s="77"/>
    </row>
    <row r="2394" spans="1:1">
      <c r="A2394" s="77"/>
    </row>
    <row r="2395" spans="1:1">
      <c r="A2395" s="77"/>
    </row>
    <row r="2396" spans="1:1">
      <c r="A2396" s="77"/>
    </row>
    <row r="2397" spans="1:1">
      <c r="A2397" s="77"/>
    </row>
    <row r="2398" spans="1:1">
      <c r="A2398" s="77"/>
    </row>
    <row r="2399" spans="1:1">
      <c r="A2399" s="77"/>
    </row>
    <row r="2400" spans="1:1">
      <c r="A2400" s="77"/>
    </row>
    <row r="2401" spans="1:1">
      <c r="A2401" s="77"/>
    </row>
    <row r="2402" spans="1:1">
      <c r="A2402" s="77"/>
    </row>
    <row r="2403" spans="1:1">
      <c r="A2403" s="77"/>
    </row>
    <row r="2404" spans="1:1">
      <c r="A2404" s="77"/>
    </row>
    <row r="2405" spans="1:1">
      <c r="A2405" s="77"/>
    </row>
    <row r="2406" spans="1:1">
      <c r="A2406" s="77"/>
    </row>
    <row r="2407" spans="1:1">
      <c r="A2407" s="77"/>
    </row>
    <row r="2408" spans="1:1">
      <c r="A2408" s="77"/>
    </row>
    <row r="2409" spans="1:1">
      <c r="A2409" s="77"/>
    </row>
    <row r="2410" spans="1:1">
      <c r="A2410" s="77"/>
    </row>
    <row r="2411" spans="1:1">
      <c r="A2411" s="77"/>
    </row>
    <row r="2412" spans="1:1">
      <c r="A2412" s="77"/>
    </row>
    <row r="2413" spans="1:1">
      <c r="A2413" s="77"/>
    </row>
    <row r="2414" spans="1:1">
      <c r="A2414" s="77"/>
    </row>
    <row r="2415" spans="1:1">
      <c r="A2415" s="77"/>
    </row>
    <row r="2416" spans="1:1">
      <c r="A2416" s="77"/>
    </row>
    <row r="2417" spans="1:1">
      <c r="A2417" s="77"/>
    </row>
    <row r="2418" spans="1:1">
      <c r="A2418" s="77"/>
    </row>
    <row r="2419" spans="1:1">
      <c r="A2419" s="77"/>
    </row>
    <row r="2420" spans="1:1">
      <c r="A2420" s="77"/>
    </row>
    <row r="2421" spans="1:1">
      <c r="A2421" s="77"/>
    </row>
    <row r="2422" spans="1:1">
      <c r="A2422" s="77"/>
    </row>
    <row r="2423" spans="1:1">
      <c r="A2423" s="77"/>
    </row>
    <row r="2424" spans="1:1">
      <c r="A2424" s="77"/>
    </row>
    <row r="2425" spans="1:1">
      <c r="A2425" s="77"/>
    </row>
    <row r="2426" spans="1:1">
      <c r="A2426" s="77"/>
    </row>
    <row r="2427" spans="1:1">
      <c r="A2427" s="77"/>
    </row>
    <row r="2428" spans="1:1">
      <c r="A2428" s="77"/>
    </row>
    <row r="2429" spans="1:1">
      <c r="A2429" s="77"/>
    </row>
    <row r="2430" spans="1:1">
      <c r="A2430" s="77"/>
    </row>
    <row r="2431" spans="1:1">
      <c r="A2431" s="77"/>
    </row>
    <row r="2432" spans="1:1">
      <c r="A2432" s="77"/>
    </row>
    <row r="2433" spans="1:1">
      <c r="A2433" s="77"/>
    </row>
    <row r="2434" spans="1:1">
      <c r="A2434" s="77"/>
    </row>
    <row r="2435" spans="1:1">
      <c r="A2435" s="77"/>
    </row>
    <row r="2436" spans="1:1">
      <c r="A2436" s="77"/>
    </row>
    <row r="2437" spans="1:1">
      <c r="A2437" s="77"/>
    </row>
    <row r="2438" spans="1:1">
      <c r="A2438" s="77"/>
    </row>
    <row r="2439" spans="1:1">
      <c r="A2439" s="77"/>
    </row>
    <row r="2440" spans="1:1">
      <c r="A2440" s="77"/>
    </row>
    <row r="2441" spans="1:1">
      <c r="A2441" s="77"/>
    </row>
    <row r="2442" spans="1:1">
      <c r="A2442" s="77"/>
    </row>
    <row r="2443" spans="1:1">
      <c r="A2443" s="77"/>
    </row>
    <row r="2444" spans="1:1">
      <c r="A2444" s="77"/>
    </row>
    <row r="2445" spans="1:1">
      <c r="A2445" s="77"/>
    </row>
    <row r="2446" spans="1:1">
      <c r="A2446" s="77"/>
    </row>
    <row r="2447" spans="1:1">
      <c r="A2447" s="77"/>
    </row>
    <row r="2448" spans="1:1">
      <c r="A2448" s="77"/>
    </row>
    <row r="2449" spans="1:1">
      <c r="A2449" s="77"/>
    </row>
    <row r="2450" spans="1:1">
      <c r="A2450" s="77"/>
    </row>
    <row r="2451" spans="1:1">
      <c r="A2451" s="77"/>
    </row>
    <row r="2452" spans="1:1">
      <c r="A2452" s="77"/>
    </row>
    <row r="2453" spans="1:1">
      <c r="A2453" s="77"/>
    </row>
    <row r="2454" spans="1:1">
      <c r="A2454" s="77"/>
    </row>
    <row r="2455" spans="1:1">
      <c r="A2455" s="77"/>
    </row>
    <row r="2456" spans="1:1">
      <c r="A2456" s="77"/>
    </row>
    <row r="2457" spans="1:1">
      <c r="A2457" s="77"/>
    </row>
    <row r="2458" spans="1:1">
      <c r="A2458" s="77"/>
    </row>
    <row r="2459" spans="1:1">
      <c r="A2459" s="77"/>
    </row>
    <row r="2460" spans="1:1">
      <c r="A2460" s="77"/>
    </row>
    <row r="2461" spans="1:1">
      <c r="A2461" s="77"/>
    </row>
    <row r="2462" spans="1:1">
      <c r="A2462" s="77"/>
    </row>
    <row r="2463" spans="1:1">
      <c r="A2463" s="77"/>
    </row>
    <row r="2464" spans="1:1">
      <c r="A2464" s="77"/>
    </row>
    <row r="2465" spans="1:1">
      <c r="A2465" s="77"/>
    </row>
    <row r="2466" spans="1:1">
      <c r="A2466" s="77"/>
    </row>
    <row r="2467" spans="1:1">
      <c r="A2467" s="77"/>
    </row>
    <row r="2468" spans="1:1">
      <c r="A2468" s="77"/>
    </row>
    <row r="2469" spans="1:1">
      <c r="A2469" s="77"/>
    </row>
    <row r="2470" spans="1:1">
      <c r="A2470" s="77"/>
    </row>
    <row r="2471" spans="1:1">
      <c r="A2471" s="77"/>
    </row>
    <row r="2472" spans="1:1">
      <c r="A2472" s="77"/>
    </row>
    <row r="2473" spans="1:1">
      <c r="A2473" s="77"/>
    </row>
    <row r="2474" spans="1:1">
      <c r="A2474" s="77"/>
    </row>
    <row r="2475" spans="1:1">
      <c r="A2475" s="77"/>
    </row>
    <row r="2476" spans="1:1">
      <c r="A2476" s="77"/>
    </row>
    <row r="2477" spans="1:1">
      <c r="A2477" s="77"/>
    </row>
    <row r="2478" spans="1:1">
      <c r="A2478" s="77"/>
    </row>
    <row r="2479" spans="1:1">
      <c r="A2479" s="77"/>
    </row>
    <row r="2480" spans="1:1">
      <c r="A2480" s="77"/>
    </row>
    <row r="2481" spans="1:1">
      <c r="A2481" s="77"/>
    </row>
    <row r="2482" spans="1:1">
      <c r="A2482" s="77"/>
    </row>
    <row r="2483" spans="1:1">
      <c r="A2483" s="77"/>
    </row>
    <row r="2484" spans="1:1">
      <c r="A2484" s="77"/>
    </row>
    <row r="2485" spans="1:1">
      <c r="A2485" s="77"/>
    </row>
    <row r="2486" spans="1:1">
      <c r="A2486" s="77"/>
    </row>
    <row r="2487" spans="1:1">
      <c r="A2487" s="77"/>
    </row>
    <row r="2488" spans="1:1">
      <c r="A2488" s="77"/>
    </row>
    <row r="2489" spans="1:1">
      <c r="A2489" s="77"/>
    </row>
    <row r="2490" spans="1:1">
      <c r="A2490" s="77"/>
    </row>
    <row r="2491" spans="1:1">
      <c r="A2491" s="77"/>
    </row>
    <row r="2492" spans="1:1">
      <c r="A2492" s="77"/>
    </row>
    <row r="2493" spans="1:1">
      <c r="A2493" s="77"/>
    </row>
    <row r="2494" spans="1:1">
      <c r="A2494" s="77"/>
    </row>
    <row r="2495" spans="1:1">
      <c r="A2495" s="77"/>
    </row>
    <row r="2496" spans="1:1">
      <c r="A2496" s="77"/>
    </row>
    <row r="2497" spans="1:1">
      <c r="A2497" s="77"/>
    </row>
    <row r="2498" spans="1:1">
      <c r="A2498" s="77"/>
    </row>
    <row r="2499" spans="1:1">
      <c r="A2499" s="77"/>
    </row>
    <row r="2500" spans="1:1">
      <c r="A2500" s="77"/>
    </row>
    <row r="2501" spans="1:1">
      <c r="A2501" s="77"/>
    </row>
    <row r="2502" spans="1:1">
      <c r="A2502" s="77"/>
    </row>
    <row r="2503" spans="1:1">
      <c r="A2503" s="77"/>
    </row>
    <row r="2504" spans="1:1">
      <c r="A2504" s="77"/>
    </row>
    <row r="2505" spans="1:1">
      <c r="A2505" s="77"/>
    </row>
    <row r="2506" spans="1:1">
      <c r="A2506" s="77"/>
    </row>
    <row r="2507" spans="1:1">
      <c r="A2507" s="77"/>
    </row>
    <row r="2508" spans="1:1">
      <c r="A2508" s="77"/>
    </row>
    <row r="2509" spans="1:1">
      <c r="A2509" s="77"/>
    </row>
    <row r="2510" spans="1:1">
      <c r="A2510" s="77"/>
    </row>
    <row r="2511" spans="1:1">
      <c r="A2511" s="77"/>
    </row>
    <row r="2512" spans="1:1">
      <c r="A2512" s="77"/>
    </row>
    <row r="2513" spans="1:1">
      <c r="A2513" s="77"/>
    </row>
    <row r="2514" spans="1:1">
      <c r="A2514" s="77"/>
    </row>
    <row r="2515" spans="1:1">
      <c r="A2515" s="77"/>
    </row>
    <row r="2516" spans="1:1">
      <c r="A2516" s="77"/>
    </row>
    <row r="2517" spans="1:1">
      <c r="A2517" s="77"/>
    </row>
    <row r="2518" spans="1:1">
      <c r="A2518" s="77"/>
    </row>
    <row r="2519" spans="1:1">
      <c r="A2519" s="77"/>
    </row>
    <row r="2520" spans="1:1">
      <c r="A2520" s="77"/>
    </row>
    <row r="2521" spans="1:1">
      <c r="A2521" s="77"/>
    </row>
    <row r="2522" spans="1:1">
      <c r="A2522" s="77"/>
    </row>
    <row r="2523" spans="1:1">
      <c r="A2523" s="77"/>
    </row>
    <row r="2524" spans="1:1">
      <c r="A2524" s="77"/>
    </row>
    <row r="2525" spans="1:1">
      <c r="A2525" s="77"/>
    </row>
    <row r="2526" spans="1:1">
      <c r="A2526" s="77"/>
    </row>
    <row r="2527" spans="1:1">
      <c r="A2527" s="77"/>
    </row>
    <row r="2528" spans="1:1">
      <c r="A2528" s="77"/>
    </row>
    <row r="2529" spans="1:1">
      <c r="A2529" s="77"/>
    </row>
    <row r="2530" spans="1:1">
      <c r="A2530" s="77"/>
    </row>
    <row r="2531" spans="1:1">
      <c r="A2531" s="77"/>
    </row>
    <row r="2532" spans="1:1">
      <c r="A2532" s="77"/>
    </row>
    <row r="2533" spans="1:1">
      <c r="A2533" s="77"/>
    </row>
    <row r="2534" spans="1:1">
      <c r="A2534" s="77"/>
    </row>
    <row r="2535" spans="1:1">
      <c r="A2535" s="77"/>
    </row>
    <row r="2536" spans="1:1">
      <c r="A2536" s="77"/>
    </row>
    <row r="2537" spans="1:1">
      <c r="A2537" s="77"/>
    </row>
    <row r="2538" spans="1:1">
      <c r="A2538" s="77"/>
    </row>
    <row r="2539" spans="1:1">
      <c r="A2539" s="77"/>
    </row>
    <row r="2540" spans="1:1">
      <c r="A2540" s="77"/>
    </row>
    <row r="2541" spans="1:1">
      <c r="A2541" s="77"/>
    </row>
    <row r="2542" spans="1:1">
      <c r="A2542" s="77"/>
    </row>
    <row r="2543" spans="1:1">
      <c r="A2543" s="77"/>
    </row>
    <row r="2544" spans="1:1">
      <c r="A2544" s="77"/>
    </row>
    <row r="2545" spans="1:1">
      <c r="A2545" s="77"/>
    </row>
    <row r="2546" spans="1:1">
      <c r="A2546" s="77"/>
    </row>
    <row r="2547" spans="1:1">
      <c r="A2547" s="77"/>
    </row>
    <row r="2548" spans="1:1">
      <c r="A2548" s="77"/>
    </row>
    <row r="2549" spans="1:1">
      <c r="A2549" s="77"/>
    </row>
    <row r="2550" spans="1:1">
      <c r="A2550" s="77"/>
    </row>
    <row r="2551" spans="1:1">
      <c r="A2551" s="77"/>
    </row>
    <row r="2552" spans="1:1">
      <c r="A2552" s="77"/>
    </row>
    <row r="2553" spans="1:1">
      <c r="A2553" s="77"/>
    </row>
    <row r="2554" spans="1:1">
      <c r="A2554" s="77"/>
    </row>
    <row r="2555" spans="1:1">
      <c r="A2555" s="77"/>
    </row>
    <row r="2556" spans="1:1">
      <c r="A2556" s="77"/>
    </row>
    <row r="2557" spans="1:1">
      <c r="A2557" s="77"/>
    </row>
    <row r="2558" spans="1:1">
      <c r="A2558" s="77"/>
    </row>
    <row r="2559" spans="1:1">
      <c r="A2559" s="77"/>
    </row>
    <row r="2560" spans="1:1">
      <c r="A2560" s="77"/>
    </row>
    <row r="2561" spans="1:1">
      <c r="A2561" s="77"/>
    </row>
    <row r="2562" spans="1:1">
      <c r="A2562" s="77"/>
    </row>
    <row r="2563" spans="1:1">
      <c r="A2563" s="77"/>
    </row>
    <row r="2564" spans="1:1">
      <c r="A2564" s="77"/>
    </row>
    <row r="2565" spans="1:1">
      <c r="A2565" s="77"/>
    </row>
    <row r="2566" spans="1:1">
      <c r="A2566" s="77"/>
    </row>
    <row r="2567" spans="1:1">
      <c r="A2567" s="77"/>
    </row>
    <row r="2568" spans="1:1">
      <c r="A2568" s="77"/>
    </row>
    <row r="2569" spans="1:1">
      <c r="A2569" s="77"/>
    </row>
    <row r="2570" spans="1:1">
      <c r="A2570" s="77"/>
    </row>
    <row r="2571" spans="1:1">
      <c r="A2571" s="77"/>
    </row>
    <row r="2572" spans="1:1">
      <c r="A2572" s="77"/>
    </row>
    <row r="2573" spans="1:1">
      <c r="A2573" s="77"/>
    </row>
    <row r="2574" spans="1:1">
      <c r="A2574" s="77"/>
    </row>
    <row r="2575" spans="1:1">
      <c r="A2575" s="77"/>
    </row>
    <row r="2576" spans="1:1">
      <c r="A2576" s="77"/>
    </row>
    <row r="2577" spans="1:1">
      <c r="A2577" s="77"/>
    </row>
    <row r="2578" spans="1:1">
      <c r="A2578" s="77"/>
    </row>
    <row r="2579" spans="1:1">
      <c r="A2579" s="77"/>
    </row>
    <row r="2580" spans="1:1">
      <c r="A2580" s="77"/>
    </row>
    <row r="2581" spans="1:1">
      <c r="A2581" s="77"/>
    </row>
    <row r="2582" spans="1:1">
      <c r="A2582" s="77"/>
    </row>
    <row r="2583" spans="1:1">
      <c r="A2583" s="77"/>
    </row>
    <row r="2584" spans="1:1">
      <c r="A2584" s="77"/>
    </row>
    <row r="2585" spans="1:1">
      <c r="A2585" s="77"/>
    </row>
    <row r="2586" spans="1:1">
      <c r="A2586" s="77"/>
    </row>
    <row r="2587" spans="1:1">
      <c r="A2587" s="77"/>
    </row>
    <row r="2588" spans="1:1">
      <c r="A2588" s="77"/>
    </row>
    <row r="2589" spans="1:1">
      <c r="A2589" s="77"/>
    </row>
    <row r="2590" spans="1:1">
      <c r="A2590" s="77"/>
    </row>
    <row r="2591" spans="1:1">
      <c r="A2591" s="77"/>
    </row>
    <row r="2592" spans="1:1">
      <c r="A2592" s="77"/>
    </row>
    <row r="2593" spans="1:1">
      <c r="A2593" s="77"/>
    </row>
    <row r="2594" spans="1:1">
      <c r="A2594" s="77"/>
    </row>
    <row r="2595" spans="1:1">
      <c r="A2595" s="77"/>
    </row>
    <row r="2596" spans="1:1">
      <c r="A2596" s="77"/>
    </row>
    <row r="2597" spans="1:1">
      <c r="A2597" s="77"/>
    </row>
    <row r="2598" spans="1:1">
      <c r="A2598" s="77"/>
    </row>
    <row r="2599" spans="1:1">
      <c r="A2599" s="77"/>
    </row>
    <row r="2600" spans="1:1">
      <c r="A2600" s="77"/>
    </row>
    <row r="2601" spans="1:1">
      <c r="A2601" s="77"/>
    </row>
    <row r="2602" spans="1:1">
      <c r="A2602" s="77"/>
    </row>
    <row r="2603" spans="1:1">
      <c r="A2603" s="77"/>
    </row>
    <row r="2604" spans="1:1">
      <c r="A2604" s="77"/>
    </row>
    <row r="2605" spans="1:1">
      <c r="A2605" s="77"/>
    </row>
    <row r="2606" spans="1:1">
      <c r="A2606" s="77"/>
    </row>
    <row r="2607" spans="1:1">
      <c r="A2607" s="77"/>
    </row>
    <row r="2608" spans="1:1">
      <c r="A2608" s="77"/>
    </row>
    <row r="2609" spans="1:1">
      <c r="A2609" s="77"/>
    </row>
    <row r="2610" spans="1:1">
      <c r="A2610" s="77"/>
    </row>
    <row r="2611" spans="1:1">
      <c r="A2611" s="77"/>
    </row>
    <row r="2612" spans="1:1">
      <c r="A2612" s="77"/>
    </row>
    <row r="2613" spans="1:1">
      <c r="A2613" s="77"/>
    </row>
    <row r="2614" spans="1:1">
      <c r="A2614" s="77"/>
    </row>
    <row r="2615" spans="1:1">
      <c r="A2615" s="77"/>
    </row>
    <row r="2616" spans="1:1">
      <c r="A2616" s="77"/>
    </row>
    <row r="2617" spans="1:1">
      <c r="A2617" s="77"/>
    </row>
    <row r="2618" spans="1:1">
      <c r="A2618" s="77"/>
    </row>
    <row r="2619" spans="1:1">
      <c r="A2619" s="77"/>
    </row>
    <row r="2620" spans="1:1">
      <c r="A2620" s="77"/>
    </row>
    <row r="2621" spans="1:1">
      <c r="A2621" s="77"/>
    </row>
    <row r="2622" spans="1:1">
      <c r="A2622" s="77"/>
    </row>
    <row r="2623" spans="1:1">
      <c r="A2623" s="77"/>
    </row>
    <row r="2624" spans="1:1">
      <c r="A2624" s="77"/>
    </row>
    <row r="2625" spans="1:1">
      <c r="A2625" s="77"/>
    </row>
    <row r="2626" spans="1:1">
      <c r="A2626" s="77"/>
    </row>
    <row r="2627" spans="1:1">
      <c r="A2627" s="77"/>
    </row>
    <row r="2628" spans="1:1">
      <c r="A2628" s="77"/>
    </row>
    <row r="2629" spans="1:1">
      <c r="A2629" s="77"/>
    </row>
    <row r="2630" spans="1:1">
      <c r="A2630" s="77"/>
    </row>
    <row r="2631" spans="1:1">
      <c r="A2631" s="77"/>
    </row>
    <row r="2632" spans="1:1">
      <c r="A2632" s="77"/>
    </row>
    <row r="2633" spans="1:1">
      <c r="A2633" s="77"/>
    </row>
    <row r="2634" spans="1:1">
      <c r="A2634" s="77"/>
    </row>
    <row r="2635" spans="1:1">
      <c r="A2635" s="77"/>
    </row>
    <row r="2636" spans="1:1">
      <c r="A2636" s="77"/>
    </row>
    <row r="2637" spans="1:1">
      <c r="A2637" s="77"/>
    </row>
    <row r="2638" spans="1:1">
      <c r="A2638" s="77"/>
    </row>
    <row r="2639" spans="1:1">
      <c r="A2639" s="77"/>
    </row>
    <row r="2640" spans="1:1">
      <c r="A2640" s="77"/>
    </row>
    <row r="2641" spans="1:1">
      <c r="A2641" s="77"/>
    </row>
    <row r="2642" spans="1:1">
      <c r="A2642" s="77"/>
    </row>
    <row r="2643" spans="1:1">
      <c r="A2643" s="77"/>
    </row>
    <row r="2644" spans="1:1">
      <c r="A2644" s="77"/>
    </row>
    <row r="2645" spans="1:1">
      <c r="A2645" s="77"/>
    </row>
    <row r="2646" spans="1:1">
      <c r="A2646" s="77"/>
    </row>
    <row r="2647" spans="1:1">
      <c r="A2647" s="77"/>
    </row>
    <row r="2648" spans="1:1">
      <c r="A2648" s="77"/>
    </row>
    <row r="2649" spans="1:1">
      <c r="A2649" s="77"/>
    </row>
    <row r="2650" spans="1:1">
      <c r="A2650" s="77"/>
    </row>
    <row r="2651" spans="1:1">
      <c r="A2651" s="77"/>
    </row>
    <row r="2652" spans="1:1">
      <c r="A2652" s="77"/>
    </row>
    <row r="2653" spans="1:1">
      <c r="A2653" s="77"/>
    </row>
    <row r="2654" spans="1:1">
      <c r="A2654" s="77"/>
    </row>
    <row r="2655" spans="1:1">
      <c r="A2655" s="77"/>
    </row>
    <row r="2656" spans="1:1">
      <c r="A2656" s="77"/>
    </row>
    <row r="2657" spans="1:1">
      <c r="A2657" s="77"/>
    </row>
    <row r="2658" spans="1:1">
      <c r="A2658" s="77"/>
    </row>
    <row r="2659" spans="1:1">
      <c r="A2659" s="77"/>
    </row>
    <row r="2660" spans="1:1">
      <c r="A2660" s="77"/>
    </row>
    <row r="2661" spans="1:1">
      <c r="A2661" s="77"/>
    </row>
    <row r="2662" spans="1:1">
      <c r="A2662" s="77"/>
    </row>
    <row r="2663" spans="1:1">
      <c r="A2663" s="77"/>
    </row>
    <row r="2664" spans="1:1">
      <c r="A2664" s="77"/>
    </row>
    <row r="2665" spans="1:1">
      <c r="A2665" s="77"/>
    </row>
    <row r="2666" spans="1:1">
      <c r="A2666" s="77"/>
    </row>
    <row r="2667" spans="1:1">
      <c r="A2667" s="77"/>
    </row>
    <row r="2668" spans="1:1">
      <c r="A2668" s="77"/>
    </row>
    <row r="2669" spans="1:1">
      <c r="A2669" s="77"/>
    </row>
    <row r="2670" spans="1:1">
      <c r="A2670" s="77"/>
    </row>
    <row r="2671" spans="1:1">
      <c r="A2671" s="77"/>
    </row>
    <row r="2672" spans="1:1">
      <c r="A2672" s="77"/>
    </row>
    <row r="2673" spans="1:1">
      <c r="A2673" s="77"/>
    </row>
    <row r="2674" spans="1:1">
      <c r="A2674" s="77"/>
    </row>
    <row r="2675" spans="1:1">
      <c r="A2675" s="77"/>
    </row>
    <row r="2676" spans="1:1">
      <c r="A2676" s="77"/>
    </row>
    <row r="2677" spans="1:1">
      <c r="A2677" s="77"/>
    </row>
    <row r="2678" spans="1:1">
      <c r="A2678" s="77"/>
    </row>
    <row r="2679" spans="1:1">
      <c r="A2679" s="77"/>
    </row>
    <row r="2680" spans="1:1">
      <c r="A2680" s="77"/>
    </row>
    <row r="2681" spans="1:1">
      <c r="A2681" s="77"/>
    </row>
    <row r="2682" spans="1:1">
      <c r="A2682" s="77"/>
    </row>
    <row r="2683" spans="1:1">
      <c r="A2683" s="77"/>
    </row>
    <row r="2684" spans="1:1">
      <c r="A2684" s="77"/>
    </row>
    <row r="2685" spans="1:1">
      <c r="A2685" s="77"/>
    </row>
    <row r="2686" spans="1:1">
      <c r="A2686" s="77"/>
    </row>
    <row r="2687" spans="1:1">
      <c r="A2687" s="77"/>
    </row>
    <row r="2688" spans="1:1">
      <c r="A2688" s="77"/>
    </row>
    <row r="2689" spans="1:1">
      <c r="A2689" s="77"/>
    </row>
    <row r="2690" spans="1:1">
      <c r="A2690" s="77"/>
    </row>
    <row r="2691" spans="1:1">
      <c r="A2691" s="77"/>
    </row>
    <row r="2692" spans="1:1">
      <c r="A2692" s="77"/>
    </row>
    <row r="2693" spans="1:1">
      <c r="A2693" s="77"/>
    </row>
    <row r="2694" spans="1:1">
      <c r="A2694" s="77"/>
    </row>
    <row r="2695" spans="1:1">
      <c r="A2695" s="77"/>
    </row>
    <row r="2696" spans="1:1">
      <c r="A2696" s="77"/>
    </row>
    <row r="2697" spans="1:1">
      <c r="A2697" s="77"/>
    </row>
    <row r="2698" spans="1:1">
      <c r="A2698" s="77"/>
    </row>
    <row r="2699" spans="1:1">
      <c r="A2699" s="77"/>
    </row>
    <row r="2700" spans="1:1">
      <c r="A2700" s="77"/>
    </row>
    <row r="2701" spans="1:1">
      <c r="A2701" s="77"/>
    </row>
    <row r="2702" spans="1:1">
      <c r="A2702" s="77"/>
    </row>
    <row r="2703" spans="1:1">
      <c r="A2703" s="77"/>
    </row>
    <row r="2704" spans="1:1">
      <c r="A2704" s="77"/>
    </row>
    <row r="2705" spans="1:1">
      <c r="A2705" s="77"/>
    </row>
    <row r="2706" spans="1:1">
      <c r="A2706" s="77"/>
    </row>
    <row r="2707" spans="1:1">
      <c r="A2707" s="77"/>
    </row>
    <row r="2708" spans="1:1">
      <c r="A2708" s="77"/>
    </row>
    <row r="2709" spans="1:1">
      <c r="A2709" s="77"/>
    </row>
    <row r="2710" spans="1:1">
      <c r="A2710" s="77"/>
    </row>
    <row r="2711" spans="1:1">
      <c r="A2711" s="77"/>
    </row>
    <row r="2712" spans="1:1">
      <c r="A2712" s="77"/>
    </row>
    <row r="2713" spans="1:1">
      <c r="A2713" s="77"/>
    </row>
    <row r="2714" spans="1:1">
      <c r="A2714" s="77"/>
    </row>
    <row r="2715" spans="1:1">
      <c r="A2715" s="77"/>
    </row>
    <row r="2716" spans="1:1">
      <c r="A2716" s="77"/>
    </row>
    <row r="2717" spans="1:1">
      <c r="A2717" s="77"/>
    </row>
    <row r="2718" spans="1:1">
      <c r="A2718" s="77"/>
    </row>
    <row r="2719" spans="1:1">
      <c r="A2719" s="77"/>
    </row>
    <row r="2720" spans="1:1">
      <c r="A2720" s="77"/>
    </row>
    <row r="2721" spans="1:1">
      <c r="A2721" s="77"/>
    </row>
    <row r="2722" spans="1:1">
      <c r="A2722" s="77"/>
    </row>
    <row r="2723" spans="1:1">
      <c r="A2723" s="77"/>
    </row>
    <row r="2724" spans="1:1">
      <c r="A2724" s="77"/>
    </row>
    <row r="2725" spans="1:1">
      <c r="A2725" s="77"/>
    </row>
    <row r="2726" spans="1:1">
      <c r="A2726" s="77"/>
    </row>
    <row r="2727" spans="1:1">
      <c r="A2727" s="77"/>
    </row>
    <row r="2728" spans="1:1">
      <c r="A2728" s="77"/>
    </row>
    <row r="2729" spans="1:1">
      <c r="A2729" s="77"/>
    </row>
    <row r="2730" spans="1:1">
      <c r="A2730" s="77"/>
    </row>
    <row r="2731" spans="1:1">
      <c r="A2731" s="77"/>
    </row>
    <row r="2732" spans="1:1">
      <c r="A2732" s="77"/>
    </row>
    <row r="2733" spans="1:1">
      <c r="A2733" s="77"/>
    </row>
    <row r="2734" spans="1:1">
      <c r="A2734" s="77"/>
    </row>
    <row r="2735" spans="1:1">
      <c r="A2735" s="77"/>
    </row>
    <row r="2736" spans="1:1">
      <c r="A2736" s="77"/>
    </row>
    <row r="2737" spans="1:1">
      <c r="A2737" s="77"/>
    </row>
    <row r="2738" spans="1:1">
      <c r="A2738" s="77"/>
    </row>
    <row r="2739" spans="1:1">
      <c r="A2739" s="77"/>
    </row>
    <row r="2740" spans="1:1">
      <c r="A2740" s="77"/>
    </row>
    <row r="2741" spans="1:1">
      <c r="A2741" s="77"/>
    </row>
    <row r="2742" spans="1:1">
      <c r="A2742" s="77"/>
    </row>
    <row r="2743" spans="1:1">
      <c r="A2743" s="77"/>
    </row>
    <row r="2744" spans="1:1">
      <c r="A2744" s="77"/>
    </row>
    <row r="2745" spans="1:1">
      <c r="A2745" s="77"/>
    </row>
    <row r="2746" spans="1:1">
      <c r="A2746" s="77"/>
    </row>
    <row r="2747" spans="1:1">
      <c r="A2747" s="77"/>
    </row>
    <row r="2748" spans="1:1">
      <c r="A2748" s="77"/>
    </row>
    <row r="2749" spans="1:1">
      <c r="A2749" s="77"/>
    </row>
    <row r="2750" spans="1:1">
      <c r="A2750" s="77"/>
    </row>
    <row r="2751" spans="1:1">
      <c r="A2751" s="77"/>
    </row>
    <row r="2752" spans="1:1">
      <c r="A2752" s="77"/>
    </row>
    <row r="2753" spans="1:1">
      <c r="A2753" s="77"/>
    </row>
    <row r="2754" spans="1:1">
      <c r="A2754" s="77"/>
    </row>
    <row r="2755" spans="1:1">
      <c r="A2755" s="77"/>
    </row>
    <row r="2756" spans="1:1">
      <c r="A2756" s="77"/>
    </row>
    <row r="2757" spans="1:1">
      <c r="A2757" s="77"/>
    </row>
    <row r="2758" spans="1:1">
      <c r="A2758" s="77"/>
    </row>
    <row r="2759" spans="1:1">
      <c r="A2759" s="77"/>
    </row>
    <row r="2760" spans="1:1">
      <c r="A2760" s="77"/>
    </row>
    <row r="2761" spans="1:1">
      <c r="A2761" s="77"/>
    </row>
    <row r="2762" spans="1:1">
      <c r="A2762" s="77"/>
    </row>
    <row r="2763" spans="1:1">
      <c r="A2763" s="77"/>
    </row>
    <row r="2764" spans="1:1">
      <c r="A2764" s="77"/>
    </row>
    <row r="2765" spans="1:1">
      <c r="A2765" s="77"/>
    </row>
    <row r="2766" spans="1:1">
      <c r="A2766" s="77"/>
    </row>
    <row r="2767" spans="1:1">
      <c r="A2767" s="77"/>
    </row>
    <row r="2768" spans="1:1">
      <c r="A2768" s="77"/>
    </row>
    <row r="2769" spans="1:1">
      <c r="A2769" s="77"/>
    </row>
    <row r="2770" spans="1:1">
      <c r="A2770" s="77"/>
    </row>
    <row r="2771" spans="1:1">
      <c r="A2771" s="77"/>
    </row>
    <row r="2772" spans="1:1">
      <c r="A2772" s="77"/>
    </row>
    <row r="2773" spans="1:1">
      <c r="A2773" s="77"/>
    </row>
    <row r="2774" spans="1:1">
      <c r="A2774" s="77"/>
    </row>
    <row r="2775" spans="1:1">
      <c r="A2775" s="77"/>
    </row>
    <row r="2776" spans="1:1">
      <c r="A2776" s="77"/>
    </row>
    <row r="2777" spans="1:1">
      <c r="A2777" s="77"/>
    </row>
    <row r="2778" spans="1:1">
      <c r="A2778" s="77"/>
    </row>
    <row r="2779" spans="1:1">
      <c r="A2779" s="77"/>
    </row>
    <row r="2780" spans="1:1">
      <c r="A2780" s="77"/>
    </row>
    <row r="2781" spans="1:1">
      <c r="A2781" s="77"/>
    </row>
    <row r="2782" spans="1:1">
      <c r="A2782" s="77"/>
    </row>
    <row r="2783" spans="1:1">
      <c r="A2783" s="77"/>
    </row>
    <row r="2784" spans="1:1">
      <c r="A2784" s="77"/>
    </row>
    <row r="2785" spans="1:1">
      <c r="A2785" s="77"/>
    </row>
    <row r="2786" spans="1:1">
      <c r="A2786" s="77"/>
    </row>
    <row r="2787" spans="1:1">
      <c r="A2787" s="77"/>
    </row>
    <row r="2788" spans="1:1">
      <c r="A2788" s="77"/>
    </row>
    <row r="2789" spans="1:1">
      <c r="A2789" s="77"/>
    </row>
    <row r="2790" spans="1:1">
      <c r="A2790" s="77"/>
    </row>
    <row r="2791" spans="1:1">
      <c r="A2791" s="77"/>
    </row>
    <row r="2792" spans="1:1">
      <c r="A2792" s="77"/>
    </row>
    <row r="2793" spans="1:1">
      <c r="A2793" s="77"/>
    </row>
    <row r="2794" spans="1:1">
      <c r="A2794" s="77"/>
    </row>
    <row r="2795" spans="1:1">
      <c r="A2795" s="77"/>
    </row>
    <row r="2796" spans="1:1">
      <c r="A2796" s="77"/>
    </row>
    <row r="2797" spans="1:1">
      <c r="A2797" s="77"/>
    </row>
    <row r="2798" spans="1:1">
      <c r="A2798" s="77"/>
    </row>
    <row r="2799" spans="1:1">
      <c r="A2799" s="77"/>
    </row>
    <row r="2800" spans="1:1">
      <c r="A2800" s="77"/>
    </row>
    <row r="2801" spans="1:1">
      <c r="A2801" s="77"/>
    </row>
    <row r="2802" spans="1:1">
      <c r="A2802" s="77"/>
    </row>
    <row r="2803" spans="1:1">
      <c r="A2803" s="77"/>
    </row>
    <row r="2804" spans="1:1">
      <c r="A2804" s="77"/>
    </row>
    <row r="2805" spans="1:1">
      <c r="A2805" s="77"/>
    </row>
    <row r="2806" spans="1:1">
      <c r="A2806" s="77"/>
    </row>
    <row r="2807" spans="1:1">
      <c r="A2807" s="77"/>
    </row>
    <row r="2808" spans="1:1">
      <c r="A2808" s="77"/>
    </row>
    <row r="2809" spans="1:1">
      <c r="A2809" s="77"/>
    </row>
    <row r="2810" spans="1:1">
      <c r="A2810" s="77"/>
    </row>
    <row r="2811" spans="1:1">
      <c r="A2811" s="77"/>
    </row>
    <row r="2812" spans="1:1">
      <c r="A2812" s="77"/>
    </row>
    <row r="2813" spans="1:1">
      <c r="A2813" s="77"/>
    </row>
    <row r="2814" spans="1:1">
      <c r="A2814" s="77"/>
    </row>
    <row r="2815" spans="1:1">
      <c r="A2815" s="77"/>
    </row>
    <row r="2816" spans="1:1">
      <c r="A2816" s="77"/>
    </row>
    <row r="2817" spans="1:1">
      <c r="A2817" s="77"/>
    </row>
    <row r="2818" spans="1:1">
      <c r="A2818" s="77"/>
    </row>
    <row r="2819" spans="1:1">
      <c r="A2819" s="77"/>
    </row>
    <row r="2820" spans="1:1">
      <c r="A2820" s="77"/>
    </row>
    <row r="2821" spans="1:1">
      <c r="A2821" s="77"/>
    </row>
    <row r="2822" spans="1:1">
      <c r="A2822" s="77"/>
    </row>
    <row r="2823" spans="1:1">
      <c r="A2823" s="77"/>
    </row>
    <row r="2824" spans="1:1">
      <c r="A2824" s="77"/>
    </row>
    <row r="2825" spans="1:1">
      <c r="A2825" s="77"/>
    </row>
    <row r="2826" spans="1:1">
      <c r="A2826" s="77"/>
    </row>
    <row r="2827" spans="1:1">
      <c r="A2827" s="77"/>
    </row>
    <row r="2828" spans="1:1">
      <c r="A2828" s="77"/>
    </row>
    <row r="2829" spans="1:1">
      <c r="A2829" s="77"/>
    </row>
    <row r="2830" spans="1:1">
      <c r="A2830" s="77"/>
    </row>
    <row r="2831" spans="1:1">
      <c r="A2831" s="77"/>
    </row>
    <row r="2832" spans="1:1">
      <c r="A2832" s="77"/>
    </row>
    <row r="2833" spans="1:1">
      <c r="A2833" s="77"/>
    </row>
    <row r="2834" spans="1:1">
      <c r="A2834" s="77"/>
    </row>
    <row r="2835" spans="1:1">
      <c r="A2835" s="77"/>
    </row>
    <row r="2836" spans="1:1">
      <c r="A2836" s="77"/>
    </row>
    <row r="2837" spans="1:1">
      <c r="A2837" s="77"/>
    </row>
    <row r="2838" spans="1:1">
      <c r="A2838" s="77"/>
    </row>
    <row r="2839" spans="1:1">
      <c r="A2839" s="77"/>
    </row>
    <row r="2840" spans="1:1">
      <c r="A2840" s="77"/>
    </row>
    <row r="2841" spans="1:1">
      <c r="A2841" s="77"/>
    </row>
    <row r="2842" spans="1:1">
      <c r="A2842" s="77"/>
    </row>
    <row r="2843" spans="1:1">
      <c r="A2843" s="77"/>
    </row>
    <row r="2844" spans="1:1">
      <c r="A2844" s="77"/>
    </row>
    <row r="2845" spans="1:1">
      <c r="A2845" s="77"/>
    </row>
    <row r="2846" spans="1:1">
      <c r="A2846" s="77"/>
    </row>
    <row r="2847" spans="1:1">
      <c r="A2847" s="77"/>
    </row>
    <row r="2848" spans="1:1">
      <c r="A2848" s="77"/>
    </row>
    <row r="2849" spans="1:1">
      <c r="A2849" s="77"/>
    </row>
    <row r="2850" spans="1:1">
      <c r="A2850" s="77"/>
    </row>
    <row r="2851" spans="1:1">
      <c r="A2851" s="77"/>
    </row>
    <row r="2852" spans="1:1">
      <c r="A2852" s="77"/>
    </row>
    <row r="2853" spans="1:1">
      <c r="A2853" s="77"/>
    </row>
    <row r="2854" spans="1:1">
      <c r="A2854" s="77"/>
    </row>
    <row r="2855" spans="1:1">
      <c r="A2855" s="77"/>
    </row>
    <row r="2856" spans="1:1">
      <c r="A2856" s="77"/>
    </row>
    <row r="2857" spans="1:1">
      <c r="A2857" s="77"/>
    </row>
    <row r="2858" spans="1:1">
      <c r="A2858" s="77"/>
    </row>
    <row r="2859" spans="1:1">
      <c r="A2859" s="77"/>
    </row>
    <row r="2860" spans="1:1">
      <c r="A2860" s="77"/>
    </row>
    <row r="2861" spans="1:1">
      <c r="A2861" s="77"/>
    </row>
    <row r="2862" spans="1:1">
      <c r="A2862" s="77"/>
    </row>
    <row r="2863" spans="1:1">
      <c r="A2863" s="77"/>
    </row>
    <row r="2864" spans="1:1">
      <c r="A2864" s="77"/>
    </row>
    <row r="2865" spans="1:1">
      <c r="A2865" s="77"/>
    </row>
    <row r="2866" spans="1:1">
      <c r="A2866" s="77"/>
    </row>
    <row r="2867" spans="1:1">
      <c r="A2867" s="77"/>
    </row>
    <row r="2868" spans="1:1">
      <c r="A2868" s="77"/>
    </row>
    <row r="2869" spans="1:1">
      <c r="A2869" s="77"/>
    </row>
    <row r="2870" spans="1:1">
      <c r="A2870" s="77"/>
    </row>
    <row r="2871" spans="1:1">
      <c r="A2871" s="77"/>
    </row>
    <row r="2872" spans="1:1">
      <c r="A2872" s="77"/>
    </row>
    <row r="2873" spans="1:1">
      <c r="A2873" s="77"/>
    </row>
    <row r="2874" spans="1:1">
      <c r="A2874" s="77"/>
    </row>
    <row r="2875" spans="1:1">
      <c r="A2875" s="77"/>
    </row>
    <row r="2876" spans="1:1">
      <c r="A2876" s="77"/>
    </row>
    <row r="2877" spans="1:1">
      <c r="A2877" s="77"/>
    </row>
    <row r="2878" spans="1:1">
      <c r="A2878" s="77"/>
    </row>
    <row r="2879" spans="1:1">
      <c r="A2879" s="77"/>
    </row>
    <row r="2880" spans="1:1">
      <c r="A2880" s="77"/>
    </row>
    <row r="2881" spans="1:1">
      <c r="A2881" s="77"/>
    </row>
    <row r="2882" spans="1:1">
      <c r="A2882" s="77"/>
    </row>
    <row r="2883" spans="1:1">
      <c r="A2883" s="77"/>
    </row>
    <row r="2884" spans="1:1">
      <c r="A2884" s="77"/>
    </row>
    <row r="2885" spans="1:1">
      <c r="A2885" s="77"/>
    </row>
    <row r="2886" spans="1:1">
      <c r="A2886" s="77"/>
    </row>
    <row r="2887" spans="1:1">
      <c r="A2887" s="77"/>
    </row>
    <row r="2888" spans="1:1">
      <c r="A2888" s="77"/>
    </row>
    <row r="2889" spans="1:1">
      <c r="A2889" s="77"/>
    </row>
    <row r="2890" spans="1:1">
      <c r="A2890" s="77"/>
    </row>
    <row r="2891" spans="1:1">
      <c r="A2891" s="77"/>
    </row>
    <row r="2892" spans="1:1">
      <c r="A2892" s="77"/>
    </row>
    <row r="2893" spans="1:1">
      <c r="A2893" s="77"/>
    </row>
    <row r="2894" spans="1:1">
      <c r="A2894" s="77"/>
    </row>
    <row r="2895" spans="1:1">
      <c r="A2895" s="77"/>
    </row>
    <row r="2896" spans="1:1">
      <c r="A2896" s="77"/>
    </row>
    <row r="2897" spans="1:1">
      <c r="A2897" s="77"/>
    </row>
    <row r="2898" spans="1:1">
      <c r="A2898" s="77"/>
    </row>
    <row r="2899" spans="1:1">
      <c r="A2899" s="77"/>
    </row>
    <row r="2900" spans="1:1">
      <c r="A2900" s="77"/>
    </row>
    <row r="2901" spans="1:1">
      <c r="A2901" s="77"/>
    </row>
    <row r="2902" spans="1:1">
      <c r="A2902" s="77"/>
    </row>
    <row r="2903" spans="1:1">
      <c r="A2903" s="77"/>
    </row>
    <row r="2904" spans="1:1">
      <c r="A2904" s="77"/>
    </row>
    <row r="2905" spans="1:1">
      <c r="A2905" s="77"/>
    </row>
    <row r="2906" spans="1:1">
      <c r="A2906" s="77"/>
    </row>
    <row r="2907" spans="1:1">
      <c r="A2907" s="77"/>
    </row>
    <row r="2908" spans="1:1">
      <c r="A2908" s="77"/>
    </row>
    <row r="2909" spans="1:1">
      <c r="A2909" s="77"/>
    </row>
    <row r="2910" spans="1:1">
      <c r="A2910" s="77"/>
    </row>
    <row r="2911" spans="1:1">
      <c r="A2911" s="77"/>
    </row>
    <row r="2912" spans="1:1">
      <c r="A2912" s="77"/>
    </row>
    <row r="2913" spans="1:1">
      <c r="A2913" s="77"/>
    </row>
    <row r="2914" spans="1:1">
      <c r="A2914" s="77"/>
    </row>
    <row r="2915" spans="1:1">
      <c r="A2915" s="77"/>
    </row>
    <row r="2916" spans="1:1">
      <c r="A2916" s="77"/>
    </row>
    <row r="2917" spans="1:1">
      <c r="A2917" s="77"/>
    </row>
    <row r="2918" spans="1:1">
      <c r="A2918" s="77"/>
    </row>
    <row r="2919" spans="1:1">
      <c r="A2919" s="77"/>
    </row>
    <row r="2920" spans="1:1">
      <c r="A2920" s="77"/>
    </row>
    <row r="2921" spans="1:1">
      <c r="A2921" s="77"/>
    </row>
    <row r="2922" spans="1:1">
      <c r="A2922" s="77"/>
    </row>
    <row r="2923" spans="1:1">
      <c r="A2923" s="77"/>
    </row>
    <row r="2924" spans="1:1">
      <c r="A2924" s="77"/>
    </row>
    <row r="2925" spans="1:1">
      <c r="A2925" s="77"/>
    </row>
    <row r="2926" spans="1:1">
      <c r="A2926" s="77"/>
    </row>
    <row r="2927" spans="1:1">
      <c r="A2927" s="77"/>
    </row>
    <row r="2928" spans="1:1">
      <c r="A2928" s="77"/>
    </row>
    <row r="2929" spans="1:1">
      <c r="A2929" s="77"/>
    </row>
    <row r="2930" spans="1:1">
      <c r="A2930" s="77"/>
    </row>
    <row r="2931" spans="1:1">
      <c r="A2931" s="77"/>
    </row>
    <row r="2932" spans="1:1">
      <c r="A2932" s="77"/>
    </row>
    <row r="2933" spans="1:1">
      <c r="A2933" s="77"/>
    </row>
    <row r="2934" spans="1:1">
      <c r="A2934" s="77"/>
    </row>
    <row r="2935" spans="1:1">
      <c r="A2935" s="77"/>
    </row>
    <row r="2936" spans="1:1">
      <c r="A2936" s="77"/>
    </row>
    <row r="2937" spans="1:1">
      <c r="A2937" s="77"/>
    </row>
    <row r="2938" spans="1:1">
      <c r="A2938" s="77"/>
    </row>
    <row r="2939" spans="1:1">
      <c r="A2939" s="77"/>
    </row>
    <row r="2940" spans="1:1">
      <c r="A2940" s="77"/>
    </row>
    <row r="2941" spans="1:1">
      <c r="A2941" s="77"/>
    </row>
    <row r="2942" spans="1:1">
      <c r="A2942" s="77"/>
    </row>
    <row r="2943" spans="1:1">
      <c r="A2943" s="77"/>
    </row>
    <row r="2944" spans="1:1">
      <c r="A2944" s="77"/>
    </row>
    <row r="2945" spans="1:1">
      <c r="A2945" s="77"/>
    </row>
    <row r="2946" spans="1:1">
      <c r="A2946" s="77"/>
    </row>
    <row r="2947" spans="1:1">
      <c r="A2947" s="77"/>
    </row>
    <row r="2948" spans="1:1">
      <c r="A2948" s="77"/>
    </row>
    <row r="2949" spans="1:1">
      <c r="A2949" s="77"/>
    </row>
    <row r="2950" spans="1:1">
      <c r="A2950" s="77"/>
    </row>
    <row r="2951" spans="1:1">
      <c r="A2951" s="77"/>
    </row>
    <row r="2952" spans="1:1">
      <c r="A2952" s="77"/>
    </row>
    <row r="2953" spans="1:1">
      <c r="A2953" s="77"/>
    </row>
    <row r="2954" spans="1:1">
      <c r="A2954" s="77"/>
    </row>
    <row r="2955" spans="1:1">
      <c r="A2955" s="77"/>
    </row>
    <row r="2956" spans="1:1">
      <c r="A2956" s="77"/>
    </row>
    <row r="2957" spans="1:1">
      <c r="A2957" s="77"/>
    </row>
    <row r="2958" spans="1:1">
      <c r="A2958" s="77"/>
    </row>
    <row r="2959" spans="1:1">
      <c r="A2959" s="77"/>
    </row>
    <row r="2960" spans="1:1">
      <c r="A2960" s="77"/>
    </row>
    <row r="2961" spans="1:1">
      <c r="A2961" s="77"/>
    </row>
    <row r="2962" spans="1:1">
      <c r="A2962" s="77"/>
    </row>
    <row r="2963" spans="1:1">
      <c r="A2963" s="77"/>
    </row>
    <row r="2964" spans="1:1">
      <c r="A2964" s="77"/>
    </row>
    <row r="2965" spans="1:1">
      <c r="A2965" s="77"/>
    </row>
    <row r="2966" spans="1:1">
      <c r="A2966" s="77"/>
    </row>
    <row r="2967" spans="1:1">
      <c r="A2967" s="77"/>
    </row>
    <row r="2968" spans="1:1">
      <c r="A2968" s="77"/>
    </row>
    <row r="2969" spans="1:1">
      <c r="A2969" s="77"/>
    </row>
    <row r="2970" spans="1:1">
      <c r="A2970" s="77"/>
    </row>
    <row r="2971" spans="1:1">
      <c r="A2971" s="77"/>
    </row>
    <row r="2972" spans="1:1">
      <c r="A2972" s="77"/>
    </row>
    <row r="2973" spans="1:1">
      <c r="A2973" s="77"/>
    </row>
    <row r="2974" spans="1:1">
      <c r="A2974" s="77"/>
    </row>
    <row r="2975" spans="1:1">
      <c r="A2975" s="77"/>
    </row>
    <row r="2976" spans="1:1">
      <c r="A2976" s="77"/>
    </row>
    <row r="2977" spans="1:1">
      <c r="A2977" s="77"/>
    </row>
    <row r="2978" spans="1:1">
      <c r="A2978" s="77"/>
    </row>
    <row r="2979" spans="1:1">
      <c r="A2979" s="77"/>
    </row>
    <row r="2980" spans="1:1">
      <c r="A2980" s="77"/>
    </row>
    <row r="2981" spans="1:1">
      <c r="A2981" s="77"/>
    </row>
    <row r="2982" spans="1:1">
      <c r="A2982" s="77"/>
    </row>
    <row r="2983" spans="1:1">
      <c r="A2983" s="77"/>
    </row>
    <row r="2984" spans="1:1">
      <c r="A2984" s="77"/>
    </row>
    <row r="2985" spans="1:1">
      <c r="A2985" s="77"/>
    </row>
    <row r="2986" spans="1:1">
      <c r="A2986" s="77"/>
    </row>
    <row r="2987" spans="1:1">
      <c r="A2987" s="77"/>
    </row>
    <row r="2988" spans="1:1">
      <c r="A2988" s="77"/>
    </row>
    <row r="2989" spans="1:1">
      <c r="A2989" s="77"/>
    </row>
    <row r="2990" spans="1:1">
      <c r="A2990" s="77"/>
    </row>
    <row r="2991" spans="1:1">
      <c r="A2991" s="77"/>
    </row>
    <row r="2992" spans="1:1">
      <c r="A2992" s="77"/>
    </row>
    <row r="2993" spans="1:1">
      <c r="A2993" s="77"/>
    </row>
    <row r="2994" spans="1:1">
      <c r="A2994" s="77"/>
    </row>
    <row r="2995" spans="1:1">
      <c r="A2995" s="77"/>
    </row>
    <row r="2996" spans="1:1">
      <c r="A2996" s="77"/>
    </row>
    <row r="2997" spans="1:1">
      <c r="A2997" s="77"/>
    </row>
    <row r="2998" spans="1:1">
      <c r="A2998" s="77"/>
    </row>
    <row r="2999" spans="1:1">
      <c r="A2999" s="77"/>
    </row>
    <row r="3000" spans="1:1">
      <c r="A3000" s="77"/>
    </row>
    <row r="3001" spans="1:1">
      <c r="A3001" s="77"/>
    </row>
    <row r="3002" spans="1:1">
      <c r="A3002" s="77"/>
    </row>
    <row r="3003" spans="1:1">
      <c r="A3003" s="77"/>
    </row>
    <row r="3004" spans="1:1">
      <c r="A3004" s="77"/>
    </row>
    <row r="3005" spans="1:1">
      <c r="A3005" s="77"/>
    </row>
    <row r="3006" spans="1:1">
      <c r="A3006" s="77"/>
    </row>
    <row r="3007" spans="1:1">
      <c r="A3007" s="77"/>
    </row>
    <row r="3008" spans="1:1">
      <c r="A3008" s="77"/>
    </row>
    <row r="3009" spans="1:1">
      <c r="A3009" s="77"/>
    </row>
    <row r="3010" spans="1:1">
      <c r="A3010" s="77"/>
    </row>
    <row r="3011" spans="1:1">
      <c r="A3011" s="77"/>
    </row>
    <row r="3012" spans="1:1">
      <c r="A3012" s="77"/>
    </row>
    <row r="3013" spans="1:1">
      <c r="A3013" s="77"/>
    </row>
    <row r="3014" spans="1:1">
      <c r="A3014" s="77"/>
    </row>
    <row r="3015" spans="1:1">
      <c r="A3015" s="77"/>
    </row>
    <row r="3016" spans="1:1">
      <c r="A3016" s="77"/>
    </row>
    <row r="3017" spans="1:1">
      <c r="A3017" s="77"/>
    </row>
    <row r="3018" spans="1:1">
      <c r="A3018" s="77"/>
    </row>
    <row r="3019" spans="1:1">
      <c r="A3019" s="77"/>
    </row>
    <row r="3020" spans="1:1">
      <c r="A3020" s="77"/>
    </row>
    <row r="3021" spans="1:1">
      <c r="A3021" s="77"/>
    </row>
    <row r="3022" spans="1:1">
      <c r="A3022" s="77"/>
    </row>
    <row r="3023" spans="1:1">
      <c r="A3023" s="77"/>
    </row>
    <row r="3024" spans="1:1">
      <c r="A3024" s="77"/>
    </row>
    <row r="3025" spans="1:1">
      <c r="A3025" s="77"/>
    </row>
    <row r="3026" spans="1:1">
      <c r="A3026" s="77"/>
    </row>
    <row r="3027" spans="1:1">
      <c r="A3027" s="77"/>
    </row>
    <row r="3028" spans="1:1">
      <c r="A3028" s="77"/>
    </row>
    <row r="3029" spans="1:1">
      <c r="A3029" s="77"/>
    </row>
    <row r="3030" spans="1:1">
      <c r="A3030" s="77"/>
    </row>
    <row r="3031" spans="1:1">
      <c r="A3031" s="77"/>
    </row>
    <row r="3032" spans="1:1">
      <c r="A3032" s="77"/>
    </row>
    <row r="3033" spans="1:1">
      <c r="A3033" s="77"/>
    </row>
    <row r="3034" spans="1:1">
      <c r="A3034" s="77"/>
    </row>
    <row r="3035" spans="1:1">
      <c r="A3035" s="77"/>
    </row>
    <row r="3036" spans="1:1">
      <c r="A3036" s="77"/>
    </row>
    <row r="3037" spans="1:1">
      <c r="A3037" s="77"/>
    </row>
    <row r="3038" spans="1:1">
      <c r="A3038" s="77"/>
    </row>
    <row r="3039" spans="1:1">
      <c r="A3039" s="77"/>
    </row>
    <row r="3040" spans="1:1">
      <c r="A3040" s="77"/>
    </row>
    <row r="3041" spans="1:1">
      <c r="A3041" s="77"/>
    </row>
    <row r="3042" spans="1:1">
      <c r="A3042" s="77"/>
    </row>
    <row r="3043" spans="1:1">
      <c r="A3043" s="77"/>
    </row>
    <row r="3044" spans="1:1">
      <c r="A3044" s="77"/>
    </row>
    <row r="3045" spans="1:1">
      <c r="A3045" s="77"/>
    </row>
    <row r="3046" spans="1:1">
      <c r="A3046" s="77"/>
    </row>
    <row r="3047" spans="1:1">
      <c r="A3047" s="77"/>
    </row>
    <row r="3048" spans="1:1">
      <c r="A3048" s="77"/>
    </row>
    <row r="3049" spans="1:1">
      <c r="A3049" s="77"/>
    </row>
    <row r="3050" spans="1:1">
      <c r="A3050" s="77"/>
    </row>
    <row r="3051" spans="1:1">
      <c r="A3051" s="77"/>
    </row>
    <row r="3052" spans="1:1">
      <c r="A3052" s="77"/>
    </row>
    <row r="3053" spans="1:1">
      <c r="A3053" s="77"/>
    </row>
    <row r="3054" spans="1:1">
      <c r="A3054" s="77"/>
    </row>
    <row r="3055" spans="1:1">
      <c r="A3055" s="77"/>
    </row>
    <row r="3056" spans="1:1">
      <c r="A3056" s="77"/>
    </row>
    <row r="3057" spans="1:1">
      <c r="A3057" s="77"/>
    </row>
    <row r="3058" spans="1:1">
      <c r="A3058" s="77"/>
    </row>
    <row r="3059" spans="1:1">
      <c r="A3059" s="77"/>
    </row>
    <row r="3060" spans="1:1">
      <c r="A3060" s="77"/>
    </row>
    <row r="3061" spans="1:1">
      <c r="A3061" s="77"/>
    </row>
    <row r="3062" spans="1:1">
      <c r="A3062" s="77"/>
    </row>
    <row r="3063" spans="1:1">
      <c r="A3063" s="77"/>
    </row>
    <row r="3064" spans="1:1">
      <c r="A3064" s="77"/>
    </row>
    <row r="3065" spans="1:1">
      <c r="A3065" s="77"/>
    </row>
    <row r="3066" spans="1:1">
      <c r="A3066" s="77"/>
    </row>
    <row r="3067" spans="1:1">
      <c r="A3067" s="77"/>
    </row>
    <row r="3068" spans="1:1">
      <c r="A3068" s="77"/>
    </row>
    <row r="3069" spans="1:1">
      <c r="A3069" s="77"/>
    </row>
    <row r="3070" spans="1:1">
      <c r="A3070" s="77"/>
    </row>
    <row r="3071" spans="1:1">
      <c r="A3071" s="77"/>
    </row>
    <row r="3072" spans="1:1">
      <c r="A3072" s="77"/>
    </row>
    <row r="3073" spans="1:1">
      <c r="A3073" s="77"/>
    </row>
    <row r="3074" spans="1:1">
      <c r="A3074" s="77"/>
    </row>
    <row r="3075" spans="1:1">
      <c r="A3075" s="77"/>
    </row>
    <row r="3076" spans="1:1">
      <c r="A3076" s="77"/>
    </row>
    <row r="3077" spans="1:1">
      <c r="A3077" s="77"/>
    </row>
    <row r="3078" spans="1:1">
      <c r="A3078" s="77"/>
    </row>
    <row r="3079" spans="1:1">
      <c r="A3079" s="77"/>
    </row>
    <row r="3080" spans="1:1">
      <c r="A3080" s="77"/>
    </row>
    <row r="3081" spans="1:1">
      <c r="A3081" s="77"/>
    </row>
    <row r="3082" spans="1:1">
      <c r="A3082" s="77"/>
    </row>
    <row r="3083" spans="1:1">
      <c r="A3083" s="77"/>
    </row>
    <row r="3084" spans="1:1">
      <c r="A3084" s="77"/>
    </row>
    <row r="3085" spans="1:1">
      <c r="A3085" s="77"/>
    </row>
    <row r="3086" spans="1:1">
      <c r="A3086" s="77"/>
    </row>
    <row r="3087" spans="1:1">
      <c r="A3087" s="77"/>
    </row>
    <row r="3088" spans="1:1">
      <c r="A3088" s="77"/>
    </row>
    <row r="3089" spans="1:1">
      <c r="A3089" s="77"/>
    </row>
    <row r="3090" spans="1:1">
      <c r="A3090" s="77"/>
    </row>
    <row r="3091" spans="1:1">
      <c r="A3091" s="77"/>
    </row>
    <row r="3092" spans="1:1">
      <c r="A3092" s="77"/>
    </row>
    <row r="3093" spans="1:1">
      <c r="A3093" s="77"/>
    </row>
    <row r="3094" spans="1:1">
      <c r="A3094" s="77"/>
    </row>
    <row r="3095" spans="1:1">
      <c r="A3095" s="77"/>
    </row>
    <row r="3096" spans="1:1">
      <c r="A3096" s="77"/>
    </row>
    <row r="3097" spans="1:1">
      <c r="A3097" s="77"/>
    </row>
    <row r="3098" spans="1:1">
      <c r="A3098" s="77"/>
    </row>
    <row r="3099" spans="1:1">
      <c r="A3099" s="77"/>
    </row>
    <row r="3100" spans="1:1">
      <c r="A3100" s="77"/>
    </row>
    <row r="3101" spans="1:1">
      <c r="A3101" s="77"/>
    </row>
    <row r="3102" spans="1:1">
      <c r="A3102" s="77"/>
    </row>
    <row r="3103" spans="1:1">
      <c r="A3103" s="77"/>
    </row>
    <row r="3104" spans="1:1">
      <c r="A3104" s="77"/>
    </row>
    <row r="3105" spans="1:1">
      <c r="A3105" s="77"/>
    </row>
    <row r="3106" spans="1:1">
      <c r="A3106" s="77"/>
    </row>
    <row r="3107" spans="1:1">
      <c r="A3107" s="77"/>
    </row>
    <row r="3108" spans="1:1">
      <c r="A3108" s="77"/>
    </row>
    <row r="3109" spans="1:1">
      <c r="A3109" s="77"/>
    </row>
    <row r="3110" spans="1:1">
      <c r="A3110" s="77"/>
    </row>
    <row r="3111" spans="1:1">
      <c r="A3111" s="77"/>
    </row>
    <row r="3112" spans="1:1">
      <c r="A3112" s="77"/>
    </row>
    <row r="3113" spans="1:1">
      <c r="A3113" s="77"/>
    </row>
    <row r="3114" spans="1:1">
      <c r="A3114" s="77"/>
    </row>
    <row r="3115" spans="1:1">
      <c r="A3115" s="77"/>
    </row>
    <row r="3116" spans="1:1">
      <c r="A3116" s="77"/>
    </row>
    <row r="3117" spans="1:1">
      <c r="A3117" s="77"/>
    </row>
    <row r="3118" spans="1:1">
      <c r="A3118" s="77"/>
    </row>
    <row r="3119" spans="1:1">
      <c r="A3119" s="77"/>
    </row>
    <row r="3120" spans="1:1">
      <c r="A3120" s="77"/>
    </row>
    <row r="3121" spans="1:1">
      <c r="A3121" s="77"/>
    </row>
    <row r="3122" spans="1:1">
      <c r="A3122" s="77"/>
    </row>
    <row r="3123" spans="1:1">
      <c r="A3123" s="77"/>
    </row>
    <row r="3124" spans="1:1">
      <c r="A3124" s="77"/>
    </row>
    <row r="3125" spans="1:1">
      <c r="A3125" s="77"/>
    </row>
    <row r="3126" spans="1:1">
      <c r="A3126" s="77"/>
    </row>
    <row r="3127" spans="1:1">
      <c r="A3127" s="77"/>
    </row>
    <row r="3128" spans="1:1">
      <c r="A3128" s="77"/>
    </row>
    <row r="3129" spans="1:1">
      <c r="A3129" s="77"/>
    </row>
    <row r="3130" spans="1:1">
      <c r="A3130" s="77"/>
    </row>
    <row r="3131" spans="1:1">
      <c r="A3131" s="77"/>
    </row>
    <row r="3132" spans="1:1">
      <c r="A3132" s="77"/>
    </row>
    <row r="3133" spans="1:1">
      <c r="A3133" s="77"/>
    </row>
    <row r="3134" spans="1:1">
      <c r="A3134" s="77"/>
    </row>
    <row r="3135" spans="1:1">
      <c r="A3135" s="77"/>
    </row>
    <row r="3136" spans="1:1">
      <c r="A3136" s="77"/>
    </row>
    <row r="3137" spans="1:1">
      <c r="A3137" s="77"/>
    </row>
    <row r="3138" spans="1:1">
      <c r="A3138" s="77"/>
    </row>
    <row r="3139" spans="1:1">
      <c r="A3139" s="77"/>
    </row>
    <row r="3140" spans="1:1">
      <c r="A3140" s="77"/>
    </row>
    <row r="3141" spans="1:1">
      <c r="A3141" s="77"/>
    </row>
    <row r="3142" spans="1:1">
      <c r="A3142" s="77"/>
    </row>
    <row r="3143" spans="1:1">
      <c r="A3143" s="77"/>
    </row>
    <row r="3144" spans="1:1">
      <c r="A3144" s="77"/>
    </row>
    <row r="3145" spans="1:1">
      <c r="A3145" s="77"/>
    </row>
    <row r="3146" spans="1:1">
      <c r="A3146" s="77"/>
    </row>
    <row r="3147" spans="1:1">
      <c r="A3147" s="77"/>
    </row>
    <row r="3148" spans="1:1">
      <c r="A3148" s="77"/>
    </row>
    <row r="3149" spans="1:1">
      <c r="A3149" s="77"/>
    </row>
    <row r="3150" spans="1:1">
      <c r="A3150" s="77"/>
    </row>
    <row r="3151" spans="1:1">
      <c r="A3151" s="77"/>
    </row>
    <row r="3152" spans="1:1">
      <c r="A3152" s="77"/>
    </row>
    <row r="3153" spans="1:1">
      <c r="A3153" s="77"/>
    </row>
    <row r="3154" spans="1:1">
      <c r="A3154" s="77"/>
    </row>
    <row r="3155" spans="1:1">
      <c r="A3155" s="77"/>
    </row>
    <row r="3156" spans="1:1">
      <c r="A3156" s="77"/>
    </row>
    <row r="3157" spans="1:1">
      <c r="A3157" s="77"/>
    </row>
    <row r="3158" spans="1:1">
      <c r="A3158" s="77"/>
    </row>
    <row r="3159" spans="1:1">
      <c r="A3159" s="77"/>
    </row>
    <row r="3160" spans="1:1">
      <c r="A3160" s="77"/>
    </row>
    <row r="3161" spans="1:1">
      <c r="A3161" s="77"/>
    </row>
    <row r="3162" spans="1:1">
      <c r="A3162" s="77"/>
    </row>
    <row r="3163" spans="1:1">
      <c r="A3163" s="77"/>
    </row>
    <row r="3164" spans="1:1">
      <c r="A3164" s="77"/>
    </row>
    <row r="3165" spans="1:1">
      <c r="A3165" s="77"/>
    </row>
    <row r="3166" spans="1:1">
      <c r="A3166" s="77"/>
    </row>
    <row r="3167" spans="1:1">
      <c r="A3167" s="77"/>
    </row>
    <row r="3168" spans="1:1">
      <c r="A3168" s="77"/>
    </row>
    <row r="3169" spans="1:1">
      <c r="A3169" s="77"/>
    </row>
    <row r="3170" spans="1:1">
      <c r="A3170" s="77"/>
    </row>
    <row r="3171" spans="1:1">
      <c r="A3171" s="77"/>
    </row>
    <row r="3172" spans="1:1">
      <c r="A3172" s="77"/>
    </row>
    <row r="3173" spans="1:1">
      <c r="A3173" s="77"/>
    </row>
    <row r="3174" spans="1:1">
      <c r="A3174" s="77"/>
    </row>
    <row r="3175" spans="1:1">
      <c r="A3175" s="77"/>
    </row>
    <row r="3176" spans="1:1">
      <c r="A3176" s="77"/>
    </row>
    <row r="3177" spans="1:1">
      <c r="A3177" s="77"/>
    </row>
    <row r="3178" spans="1:1">
      <c r="A3178" s="77"/>
    </row>
    <row r="3179" spans="1:1">
      <c r="A3179" s="77"/>
    </row>
    <row r="3180" spans="1:1">
      <c r="A3180" s="77"/>
    </row>
    <row r="3181" spans="1:1">
      <c r="A3181" s="77"/>
    </row>
    <row r="3182" spans="1:1">
      <c r="A3182" s="77"/>
    </row>
    <row r="3183" spans="1:1">
      <c r="A3183" s="77"/>
    </row>
    <row r="3184" spans="1:1">
      <c r="A3184" s="77"/>
    </row>
    <row r="3185" spans="1:1">
      <c r="A3185" s="77"/>
    </row>
    <row r="3186" spans="1:1">
      <c r="A3186" s="77"/>
    </row>
    <row r="3187" spans="1:1">
      <c r="A3187" s="77"/>
    </row>
    <row r="3188" spans="1:1">
      <c r="A3188" s="77"/>
    </row>
    <row r="3189" spans="1:1">
      <c r="A3189" s="77"/>
    </row>
    <row r="3190" spans="1:1">
      <c r="A3190" s="77"/>
    </row>
    <row r="3191" spans="1:1">
      <c r="A3191" s="77"/>
    </row>
    <row r="3192" spans="1:1">
      <c r="A3192" s="77"/>
    </row>
    <row r="3193" spans="1:1">
      <c r="A3193" s="77"/>
    </row>
    <row r="3194" spans="1:1">
      <c r="A3194" s="77"/>
    </row>
    <row r="3195" spans="1:1">
      <c r="A3195" s="77"/>
    </row>
    <row r="3196" spans="1:1">
      <c r="A3196" s="77"/>
    </row>
    <row r="3197" spans="1:1">
      <c r="A3197" s="77"/>
    </row>
    <row r="3198" spans="1:1">
      <c r="A3198" s="77"/>
    </row>
    <row r="3199" spans="1:1">
      <c r="A3199" s="77"/>
    </row>
    <row r="3200" spans="1:1">
      <c r="A3200" s="77"/>
    </row>
    <row r="3201" spans="1:1">
      <c r="A3201" s="77"/>
    </row>
    <row r="3202" spans="1:1">
      <c r="A3202" s="77"/>
    </row>
    <row r="3203" spans="1:1">
      <c r="A3203" s="77"/>
    </row>
    <row r="3204" spans="1:1">
      <c r="A3204" s="77"/>
    </row>
    <row r="3205" spans="1:1">
      <c r="A3205" s="77"/>
    </row>
    <row r="3206" spans="1:1">
      <c r="A3206" s="77"/>
    </row>
    <row r="3207" spans="1:1">
      <c r="A3207" s="77"/>
    </row>
    <row r="3208" spans="1:1">
      <c r="A3208" s="77"/>
    </row>
    <row r="3209" spans="1:1">
      <c r="A3209" s="77"/>
    </row>
    <row r="3210" spans="1:1">
      <c r="A3210" s="77"/>
    </row>
    <row r="3211" spans="1:1">
      <c r="A3211" s="77"/>
    </row>
    <row r="3212" spans="1:1">
      <c r="A3212" s="77"/>
    </row>
    <row r="3213" spans="1:1">
      <c r="A3213" s="77"/>
    </row>
    <row r="3214" spans="1:1">
      <c r="A3214" s="77"/>
    </row>
    <row r="3215" spans="1:1">
      <c r="A3215" s="77"/>
    </row>
    <row r="3216" spans="1:1">
      <c r="A3216" s="77"/>
    </row>
    <row r="3217" spans="1:1">
      <c r="A3217" s="77"/>
    </row>
    <row r="3218" spans="1:1">
      <c r="A3218" s="77"/>
    </row>
    <row r="3219" spans="1:1">
      <c r="A3219" s="77"/>
    </row>
    <row r="3220" spans="1:1">
      <c r="A3220" s="77"/>
    </row>
    <row r="3221" spans="1:1">
      <c r="A3221" s="77"/>
    </row>
    <row r="3222" spans="1:1">
      <c r="A3222" s="77"/>
    </row>
    <row r="3223" spans="1:1">
      <c r="A3223" s="77"/>
    </row>
    <row r="3224" spans="1:1">
      <c r="A3224" s="77"/>
    </row>
    <row r="3225" spans="1:1">
      <c r="A3225" s="77"/>
    </row>
    <row r="3226" spans="1:1">
      <c r="A3226" s="77"/>
    </row>
    <row r="3227" spans="1:1">
      <c r="A3227" s="77"/>
    </row>
    <row r="3228" spans="1:1">
      <c r="A3228" s="77"/>
    </row>
    <row r="3229" spans="1:1">
      <c r="A3229" s="77"/>
    </row>
    <row r="3230" spans="1:1">
      <c r="A3230" s="77"/>
    </row>
    <row r="3231" spans="1:1">
      <c r="A3231" s="77"/>
    </row>
    <row r="3232" spans="1:1">
      <c r="A3232" s="77"/>
    </row>
    <row r="3233" spans="1:1">
      <c r="A3233" s="77"/>
    </row>
    <row r="3234" spans="1:1">
      <c r="A3234" s="77"/>
    </row>
    <row r="3235" spans="1:1">
      <c r="A3235" s="77"/>
    </row>
    <row r="3236" spans="1:1">
      <c r="A3236" s="77"/>
    </row>
    <row r="3237" spans="1:1">
      <c r="A3237" s="77"/>
    </row>
    <row r="3238" spans="1:1">
      <c r="A3238" s="77"/>
    </row>
    <row r="3239" spans="1:1">
      <c r="A3239" s="77"/>
    </row>
    <row r="3240" spans="1:1">
      <c r="A3240" s="77"/>
    </row>
    <row r="3241" spans="1:1">
      <c r="A3241" s="77"/>
    </row>
    <row r="3242" spans="1:1">
      <c r="A3242" s="77"/>
    </row>
    <row r="3243" spans="1:1">
      <c r="A3243" s="77"/>
    </row>
    <row r="3244" spans="1:1">
      <c r="A3244" s="77"/>
    </row>
    <row r="3245" spans="1:1">
      <c r="A3245" s="77"/>
    </row>
    <row r="3246" spans="1:1">
      <c r="A3246" s="77"/>
    </row>
    <row r="3247" spans="1:1">
      <c r="A3247" s="77"/>
    </row>
    <row r="3248" spans="1:1">
      <c r="A3248" s="77"/>
    </row>
    <row r="3249" spans="1:1">
      <c r="A3249" s="77"/>
    </row>
    <row r="3250" spans="1:1">
      <c r="A3250" s="77"/>
    </row>
    <row r="3251" spans="1:1">
      <c r="A3251" s="77"/>
    </row>
    <row r="3252" spans="1:1">
      <c r="A3252" s="77"/>
    </row>
    <row r="3253" spans="1:1">
      <c r="A3253" s="77"/>
    </row>
    <row r="3254" spans="1:1">
      <c r="A3254" s="77"/>
    </row>
    <row r="3255" spans="1:1">
      <c r="A3255" s="77"/>
    </row>
    <row r="3256" spans="1:1">
      <c r="A3256" s="77"/>
    </row>
    <row r="3257" spans="1:1">
      <c r="A3257" s="77"/>
    </row>
    <row r="3258" spans="1:1">
      <c r="A3258" s="77"/>
    </row>
    <row r="3259" spans="1:1">
      <c r="A3259" s="77"/>
    </row>
    <row r="3260" spans="1:1">
      <c r="A3260" s="77"/>
    </row>
    <row r="3261" spans="1:1">
      <c r="A3261" s="77"/>
    </row>
    <row r="3262" spans="1:1">
      <c r="A3262" s="77"/>
    </row>
    <row r="3263" spans="1:1">
      <c r="A3263" s="77"/>
    </row>
    <row r="3264" spans="1:1">
      <c r="A3264" s="77"/>
    </row>
    <row r="3265" spans="1:1">
      <c r="A3265" s="77"/>
    </row>
    <row r="3266" spans="1:1">
      <c r="A3266" s="77"/>
    </row>
    <row r="3267" spans="1:1">
      <c r="A3267" s="77"/>
    </row>
    <row r="3268" spans="1:1">
      <c r="A3268" s="77"/>
    </row>
    <row r="3269" spans="1:1">
      <c r="A3269" s="77"/>
    </row>
    <row r="3270" spans="1:1">
      <c r="A3270" s="77"/>
    </row>
    <row r="3271" spans="1:1">
      <c r="A3271" s="77"/>
    </row>
    <row r="3272" spans="1:1">
      <c r="A3272" s="77"/>
    </row>
    <row r="3273" spans="1:1">
      <c r="A3273" s="77"/>
    </row>
    <row r="3274" spans="1:1">
      <c r="A3274" s="77"/>
    </row>
    <row r="3275" spans="1:1">
      <c r="A3275" s="77"/>
    </row>
    <row r="3276" spans="1:1">
      <c r="A3276" s="77"/>
    </row>
    <row r="3277" spans="1:1">
      <c r="A3277" s="77"/>
    </row>
    <row r="3278" spans="1:1">
      <c r="A3278" s="77"/>
    </row>
    <row r="3279" spans="1:1">
      <c r="A3279" s="77"/>
    </row>
    <row r="3280" spans="1:1">
      <c r="A3280" s="77"/>
    </row>
    <row r="3281" spans="1:1">
      <c r="A3281" s="77"/>
    </row>
    <row r="3282" spans="1:1">
      <c r="A3282" s="77"/>
    </row>
    <row r="3283" spans="1:1">
      <c r="A3283" s="77"/>
    </row>
    <row r="3284" spans="1:1">
      <c r="A3284" s="77"/>
    </row>
    <row r="3285" spans="1:1">
      <c r="A3285" s="77"/>
    </row>
    <row r="3286" spans="1:1">
      <c r="A3286" s="77"/>
    </row>
    <row r="3287" spans="1:1">
      <c r="A3287" s="77"/>
    </row>
    <row r="3288" spans="1:1">
      <c r="A3288" s="77"/>
    </row>
    <row r="3289" spans="1:1">
      <c r="A3289" s="77"/>
    </row>
    <row r="3290" spans="1:1">
      <c r="A3290" s="77"/>
    </row>
    <row r="3291" spans="1:1">
      <c r="A3291" s="77"/>
    </row>
    <row r="3292" spans="1:1">
      <c r="A3292" s="77"/>
    </row>
    <row r="3293" spans="1:1">
      <c r="A3293" s="77"/>
    </row>
    <row r="3294" spans="1:1">
      <c r="A3294" s="77"/>
    </row>
    <row r="3295" spans="1:1">
      <c r="A3295" s="77"/>
    </row>
    <row r="3296" spans="1:1">
      <c r="A3296" s="77"/>
    </row>
    <row r="3297" spans="1:1">
      <c r="A3297" s="77"/>
    </row>
    <row r="3298" spans="1:1">
      <c r="A3298" s="77"/>
    </row>
    <row r="3299" spans="1:1">
      <c r="A3299" s="77"/>
    </row>
    <row r="3300" spans="1:1">
      <c r="A3300" s="77"/>
    </row>
    <row r="3301" spans="1:1">
      <c r="A3301" s="77"/>
    </row>
    <row r="3302" spans="1:1">
      <c r="A3302" s="77"/>
    </row>
    <row r="3303" spans="1:1">
      <c r="A3303" s="77"/>
    </row>
    <row r="3304" spans="1:1">
      <c r="A3304" s="77"/>
    </row>
    <row r="3305" spans="1:1">
      <c r="A3305" s="77"/>
    </row>
    <row r="3306" spans="1:1">
      <c r="A3306" s="77"/>
    </row>
    <row r="3307" spans="1:1">
      <c r="A3307" s="77"/>
    </row>
    <row r="3308" spans="1:1">
      <c r="A3308" s="77"/>
    </row>
    <row r="3309" spans="1:1">
      <c r="A3309" s="77"/>
    </row>
    <row r="3310" spans="1:1">
      <c r="A3310" s="77"/>
    </row>
    <row r="3311" spans="1:1">
      <c r="A3311" s="77"/>
    </row>
    <row r="3312" spans="1:1">
      <c r="A3312" s="77"/>
    </row>
    <row r="3313" spans="1:1">
      <c r="A3313" s="77"/>
    </row>
    <row r="3314" spans="1:1">
      <c r="A3314" s="77"/>
    </row>
    <row r="3315" spans="1:1">
      <c r="A3315" s="77"/>
    </row>
    <row r="3316" spans="1:1">
      <c r="A3316" s="77"/>
    </row>
    <row r="3317" spans="1:1">
      <c r="A3317" s="77"/>
    </row>
    <row r="3318" spans="1:1">
      <c r="A3318" s="77"/>
    </row>
    <row r="3319" spans="1:1">
      <c r="A3319" s="77"/>
    </row>
    <row r="3320" spans="1:1">
      <c r="A3320" s="77"/>
    </row>
    <row r="3321" spans="1:1">
      <c r="A3321" s="77"/>
    </row>
    <row r="3322" spans="1:1">
      <c r="A3322" s="77"/>
    </row>
    <row r="3323" spans="1:1">
      <c r="A3323" s="77"/>
    </row>
    <row r="3324" spans="1:1">
      <c r="A3324" s="77"/>
    </row>
    <row r="3325" spans="1:1">
      <c r="A3325" s="77"/>
    </row>
    <row r="3326" spans="1:1">
      <c r="A3326" s="77"/>
    </row>
    <row r="3327" spans="1:1">
      <c r="A3327" s="77"/>
    </row>
    <row r="3328" spans="1:1">
      <c r="A3328" s="77"/>
    </row>
    <row r="3329" spans="1:1">
      <c r="A3329" s="77"/>
    </row>
    <row r="3330" spans="1:1">
      <c r="A3330" s="77"/>
    </row>
    <row r="3331" spans="1:1">
      <c r="A3331" s="77"/>
    </row>
    <row r="3332" spans="1:1">
      <c r="A3332" s="77"/>
    </row>
    <row r="3333" spans="1:1">
      <c r="A3333" s="77"/>
    </row>
    <row r="3334" spans="1:1">
      <c r="A3334" s="77"/>
    </row>
    <row r="3335" spans="1:1">
      <c r="A3335" s="77"/>
    </row>
    <row r="3336" spans="1:1">
      <c r="A3336" s="77"/>
    </row>
    <row r="3337" spans="1:1">
      <c r="A3337" s="77"/>
    </row>
    <row r="3338" spans="1:1">
      <c r="A3338" s="77"/>
    </row>
    <row r="3339" spans="1:1">
      <c r="A3339" s="77"/>
    </row>
    <row r="3340" spans="1:1">
      <c r="A3340" s="77"/>
    </row>
    <row r="3341" spans="1:1">
      <c r="A3341" s="77"/>
    </row>
    <row r="3342" spans="1:1">
      <c r="A3342" s="77"/>
    </row>
    <row r="3343" spans="1:1">
      <c r="A3343" s="77"/>
    </row>
    <row r="3344" spans="1:1">
      <c r="A3344" s="77"/>
    </row>
    <row r="3345" spans="1:1">
      <c r="A3345" s="77"/>
    </row>
    <row r="3346" spans="1:1">
      <c r="A3346" s="77"/>
    </row>
    <row r="3347" spans="1:1">
      <c r="A3347" s="77"/>
    </row>
    <row r="3348" spans="1:1">
      <c r="A3348" s="77"/>
    </row>
    <row r="3349" spans="1:1">
      <c r="A3349" s="77"/>
    </row>
    <row r="3350" spans="1:1">
      <c r="A3350" s="77"/>
    </row>
    <row r="3351" spans="1:1">
      <c r="A3351" s="77"/>
    </row>
    <row r="3352" spans="1:1">
      <c r="A3352" s="77"/>
    </row>
    <row r="3353" spans="1:1">
      <c r="A3353" s="77"/>
    </row>
    <row r="3354" spans="1:1">
      <c r="A3354" s="77"/>
    </row>
    <row r="3355" spans="1:1">
      <c r="A3355" s="77"/>
    </row>
    <row r="3356" spans="1:1">
      <c r="A3356" s="77"/>
    </row>
    <row r="3357" spans="1:1">
      <c r="A3357" s="77"/>
    </row>
    <row r="3358" spans="1:1">
      <c r="A3358" s="77"/>
    </row>
    <row r="3359" spans="1:1">
      <c r="A3359" s="77"/>
    </row>
    <row r="3360" spans="1:1">
      <c r="A3360" s="77"/>
    </row>
    <row r="3361" spans="1:1">
      <c r="A3361" s="77"/>
    </row>
    <row r="3362" spans="1:1">
      <c r="A3362" s="77"/>
    </row>
    <row r="3363" spans="1:1">
      <c r="A3363" s="77"/>
    </row>
    <row r="3364" spans="1:1">
      <c r="A3364" s="77"/>
    </row>
    <row r="3365" spans="1:1">
      <c r="A3365" s="77"/>
    </row>
    <row r="3366" spans="1:1">
      <c r="A3366" s="77"/>
    </row>
    <row r="3367" spans="1:1">
      <c r="A3367" s="77"/>
    </row>
    <row r="3368" spans="1:1">
      <c r="A3368" s="77"/>
    </row>
    <row r="3369" spans="1:1">
      <c r="A3369" s="77"/>
    </row>
    <row r="3370" spans="1:1">
      <c r="A3370" s="77"/>
    </row>
    <row r="3371" spans="1:1">
      <c r="A3371" s="77"/>
    </row>
    <row r="3372" spans="1:1">
      <c r="A3372" s="77"/>
    </row>
    <row r="3373" spans="1:1">
      <c r="A3373" s="77"/>
    </row>
    <row r="3374" spans="1:1">
      <c r="A3374" s="77"/>
    </row>
    <row r="3375" spans="1:1">
      <c r="A3375" s="77"/>
    </row>
    <row r="3376" spans="1:1">
      <c r="A3376" s="77"/>
    </row>
    <row r="3377" spans="1:1">
      <c r="A3377" s="77"/>
    </row>
    <row r="3378" spans="1:1">
      <c r="A3378" s="77"/>
    </row>
    <row r="3379" spans="1:1">
      <c r="A3379" s="77"/>
    </row>
    <row r="3380" spans="1:1">
      <c r="A3380" s="77"/>
    </row>
    <row r="3381" spans="1:1">
      <c r="A3381" s="77"/>
    </row>
    <row r="3382" spans="1:1">
      <c r="A3382" s="77"/>
    </row>
    <row r="3383" spans="1:1">
      <c r="A3383" s="77"/>
    </row>
    <row r="3384" spans="1:1">
      <c r="A3384" s="77"/>
    </row>
    <row r="3385" spans="1:1">
      <c r="A3385" s="77"/>
    </row>
    <row r="3386" spans="1:1">
      <c r="A3386" s="77"/>
    </row>
    <row r="3387" spans="1:1">
      <c r="A3387" s="77"/>
    </row>
    <row r="3388" spans="1:1">
      <c r="A3388" s="77"/>
    </row>
    <row r="3389" spans="1:1">
      <c r="A3389" s="77"/>
    </row>
    <row r="3390" spans="1:1">
      <c r="A3390" s="77"/>
    </row>
    <row r="3391" spans="1:1">
      <c r="A3391" s="77"/>
    </row>
    <row r="3392" spans="1:1">
      <c r="A3392" s="77"/>
    </row>
    <row r="3393" spans="1:1">
      <c r="A3393" s="77"/>
    </row>
    <row r="3394" spans="1:1">
      <c r="A3394" s="77"/>
    </row>
    <row r="3395" spans="1:1">
      <c r="A3395" s="77"/>
    </row>
    <row r="3396" spans="1:1">
      <c r="A3396" s="77"/>
    </row>
    <row r="3397" spans="1:1">
      <c r="A3397" s="77"/>
    </row>
    <row r="3398" spans="1:1">
      <c r="A3398" s="77"/>
    </row>
    <row r="3399" spans="1:1">
      <c r="A3399" s="77"/>
    </row>
    <row r="3400" spans="1:1">
      <c r="A3400" s="77"/>
    </row>
    <row r="3401" spans="1:1">
      <c r="A3401" s="77"/>
    </row>
    <row r="3402" spans="1:1">
      <c r="A3402" s="77"/>
    </row>
    <row r="3403" spans="1:1">
      <c r="A3403" s="77"/>
    </row>
    <row r="3404" spans="1:1">
      <c r="A3404" s="77"/>
    </row>
    <row r="3405" spans="1:1">
      <c r="A3405" s="77"/>
    </row>
    <row r="3406" spans="1:1">
      <c r="A3406" s="77"/>
    </row>
    <row r="3407" spans="1:1">
      <c r="A3407" s="77"/>
    </row>
    <row r="3408" spans="1:1">
      <c r="A3408" s="77"/>
    </row>
    <row r="3409" spans="1:1">
      <c r="A3409" s="77"/>
    </row>
    <row r="3410" spans="1:1">
      <c r="A3410" s="77"/>
    </row>
    <row r="3411" spans="1:1">
      <c r="A3411" s="77"/>
    </row>
    <row r="3412" spans="1:1">
      <c r="A3412" s="77"/>
    </row>
    <row r="3413" spans="1:1">
      <c r="A3413" s="77"/>
    </row>
    <row r="3414" spans="1:1">
      <c r="A3414" s="77"/>
    </row>
    <row r="3415" spans="1:1">
      <c r="A3415" s="77"/>
    </row>
    <row r="3416" spans="1:1">
      <c r="A3416" s="77"/>
    </row>
    <row r="3417" spans="1:1">
      <c r="A3417" s="77"/>
    </row>
    <row r="3418" spans="1:1">
      <c r="A3418" s="77"/>
    </row>
    <row r="3419" spans="1:1">
      <c r="A3419" s="77"/>
    </row>
    <row r="3420" spans="1:1">
      <c r="A3420" s="77"/>
    </row>
    <row r="3421" spans="1:1">
      <c r="A3421" s="77"/>
    </row>
    <row r="3422" spans="1:1">
      <c r="A3422" s="77"/>
    </row>
    <row r="3423" spans="1:1">
      <c r="A3423" s="77"/>
    </row>
    <row r="3424" spans="1:1">
      <c r="A3424" s="77"/>
    </row>
    <row r="3425" spans="1:1">
      <c r="A3425" s="77"/>
    </row>
    <row r="3426" spans="1:1">
      <c r="A3426" s="77"/>
    </row>
    <row r="3427" spans="1:1">
      <c r="A3427" s="77"/>
    </row>
    <row r="3428" spans="1:1">
      <c r="A3428" s="77"/>
    </row>
    <row r="3429" spans="1:1">
      <c r="A3429" s="77"/>
    </row>
    <row r="3430" spans="1:1">
      <c r="A3430" s="77"/>
    </row>
    <row r="3431" spans="1:1">
      <c r="A3431" s="77"/>
    </row>
    <row r="3432" spans="1:1">
      <c r="A3432" s="77"/>
    </row>
    <row r="3433" spans="1:1">
      <c r="A3433" s="77"/>
    </row>
    <row r="3434" spans="1:1">
      <c r="A3434" s="77"/>
    </row>
    <row r="3435" spans="1:1">
      <c r="A3435" s="77"/>
    </row>
    <row r="3436" spans="1:1">
      <c r="A3436" s="77"/>
    </row>
    <row r="3437" spans="1:1">
      <c r="A3437" s="77"/>
    </row>
    <row r="3438" spans="1:1">
      <c r="A3438" s="77"/>
    </row>
    <row r="3439" spans="1:1">
      <c r="A3439" s="77"/>
    </row>
    <row r="3440" spans="1:1">
      <c r="A3440" s="77"/>
    </row>
    <row r="3441" spans="1:1">
      <c r="A3441" s="77"/>
    </row>
    <row r="3442" spans="1:1">
      <c r="A3442" s="77"/>
    </row>
    <row r="3443" spans="1:1">
      <c r="A3443" s="77"/>
    </row>
    <row r="3444" spans="1:1">
      <c r="A3444" s="77"/>
    </row>
    <row r="3445" spans="1:1">
      <c r="A3445" s="77"/>
    </row>
    <row r="3446" spans="1:1">
      <c r="A3446" s="77"/>
    </row>
    <row r="3447" spans="1:1">
      <c r="A3447" s="77"/>
    </row>
    <row r="3448" spans="1:1">
      <c r="A3448" s="77"/>
    </row>
    <row r="3449" spans="1:1">
      <c r="A3449" s="77"/>
    </row>
    <row r="3450" spans="1:1">
      <c r="A3450" s="77"/>
    </row>
    <row r="3451" spans="1:1">
      <c r="A3451" s="77"/>
    </row>
    <row r="3452" spans="1:1">
      <c r="A3452" s="77"/>
    </row>
    <row r="3453" spans="1:1">
      <c r="A3453" s="77"/>
    </row>
    <row r="3454" spans="1:1">
      <c r="A3454" s="77"/>
    </row>
    <row r="3455" spans="1:1">
      <c r="A3455" s="77"/>
    </row>
    <row r="3456" spans="1:1">
      <c r="A3456" s="77"/>
    </row>
    <row r="3457" spans="1:1">
      <c r="A3457" s="77"/>
    </row>
    <row r="3458" spans="1:1">
      <c r="A3458" s="77"/>
    </row>
    <row r="3459" spans="1:1">
      <c r="A3459" s="77"/>
    </row>
    <row r="3460" spans="1:1">
      <c r="A3460" s="77"/>
    </row>
    <row r="3461" spans="1:1">
      <c r="A3461" s="77"/>
    </row>
    <row r="3462" spans="1:1">
      <c r="A3462" s="77"/>
    </row>
    <row r="3463" spans="1:1">
      <c r="A3463" s="77"/>
    </row>
    <row r="3464" spans="1:1">
      <c r="A3464" s="77"/>
    </row>
    <row r="3465" spans="1:1">
      <c r="A3465" s="77"/>
    </row>
    <row r="3466" spans="1:1">
      <c r="A3466" s="77"/>
    </row>
    <row r="3467" spans="1:1">
      <c r="A3467" s="77"/>
    </row>
    <row r="3468" spans="1:1">
      <c r="A3468" s="77"/>
    </row>
    <row r="3469" spans="1:1">
      <c r="A3469" s="77"/>
    </row>
    <row r="3470" spans="1:1">
      <c r="A3470" s="77"/>
    </row>
    <row r="3471" spans="1:1">
      <c r="A3471" s="77"/>
    </row>
    <row r="3472" spans="1:1">
      <c r="A3472" s="77"/>
    </row>
    <row r="3473" spans="1:1">
      <c r="A3473" s="77"/>
    </row>
    <row r="3474" spans="1:1">
      <c r="A3474" s="77"/>
    </row>
    <row r="3475" spans="1:1">
      <c r="A3475" s="77"/>
    </row>
    <row r="3476" spans="1:1">
      <c r="A3476" s="77"/>
    </row>
    <row r="3477" spans="1:1">
      <c r="A3477" s="77"/>
    </row>
    <row r="3478" spans="1:1">
      <c r="A3478" s="77"/>
    </row>
    <row r="3479" spans="1:1">
      <c r="A3479" s="77"/>
    </row>
    <row r="3480" spans="1:1">
      <c r="A3480" s="77"/>
    </row>
    <row r="3481" spans="1:1">
      <c r="A3481" s="77"/>
    </row>
    <row r="3482" spans="1:1">
      <c r="A3482" s="77"/>
    </row>
    <row r="3483" spans="1:1">
      <c r="A3483" s="77"/>
    </row>
    <row r="3484" spans="1:1">
      <c r="A3484" s="77"/>
    </row>
    <row r="3485" spans="1:1">
      <c r="A3485" s="77"/>
    </row>
    <row r="3486" spans="1:1">
      <c r="A3486" s="77"/>
    </row>
    <row r="3487" spans="1:1">
      <c r="A3487" s="77"/>
    </row>
    <row r="3488" spans="1:1">
      <c r="A3488" s="77"/>
    </row>
    <row r="3489" spans="1:1">
      <c r="A3489" s="77"/>
    </row>
    <row r="3490" spans="1:1">
      <c r="A3490" s="77"/>
    </row>
    <row r="3491" spans="1:1">
      <c r="A3491" s="77"/>
    </row>
    <row r="3492" spans="1:1">
      <c r="A3492" s="77"/>
    </row>
    <row r="3493" spans="1:1">
      <c r="A3493" s="77"/>
    </row>
    <row r="3494" spans="1:1">
      <c r="A3494" s="77"/>
    </row>
    <row r="3495" spans="1:1">
      <c r="A3495" s="77"/>
    </row>
    <row r="3496" spans="1:1">
      <c r="A3496" s="77"/>
    </row>
    <row r="3497" spans="1:1">
      <c r="A3497" s="77"/>
    </row>
    <row r="3498" spans="1:1">
      <c r="A3498" s="77"/>
    </row>
    <row r="3499" spans="1:1">
      <c r="A3499" s="77"/>
    </row>
    <row r="3500" spans="1:1">
      <c r="A3500" s="77"/>
    </row>
    <row r="3501" spans="1:1">
      <c r="A3501" s="77"/>
    </row>
    <row r="3502" spans="1:1">
      <c r="A3502" s="77"/>
    </row>
    <row r="3503" spans="1:1">
      <c r="A3503" s="77"/>
    </row>
    <row r="3504" spans="1:1">
      <c r="A3504" s="77"/>
    </row>
    <row r="3505" spans="1:1">
      <c r="A3505" s="77"/>
    </row>
    <row r="3506" spans="1:1">
      <c r="A3506" s="77"/>
    </row>
    <row r="3507" spans="1:1">
      <c r="A3507" s="77"/>
    </row>
    <row r="3508" spans="1:1">
      <c r="A3508" s="77"/>
    </row>
    <row r="3509" spans="1:1">
      <c r="A3509" s="77"/>
    </row>
    <row r="3510" spans="1:1">
      <c r="A3510" s="77"/>
    </row>
    <row r="3511" spans="1:1">
      <c r="A3511" s="77"/>
    </row>
    <row r="3512" spans="1:1">
      <c r="A3512" s="77"/>
    </row>
    <row r="3513" spans="1:1">
      <c r="A3513" s="77"/>
    </row>
    <row r="3514" spans="1:1">
      <c r="A3514" s="77"/>
    </row>
    <row r="3515" spans="1:1">
      <c r="A3515" s="77"/>
    </row>
    <row r="3516" spans="1:1">
      <c r="A3516" s="77"/>
    </row>
    <row r="3517" spans="1:1">
      <c r="A3517" s="77"/>
    </row>
    <row r="3518" spans="1:1">
      <c r="A3518" s="77"/>
    </row>
    <row r="3519" spans="1:1">
      <c r="A3519" s="77"/>
    </row>
    <row r="3520" spans="1:1">
      <c r="A3520" s="77"/>
    </row>
    <row r="3521" spans="1:1">
      <c r="A3521" s="77"/>
    </row>
    <row r="3522" spans="1:1">
      <c r="A3522" s="77"/>
    </row>
    <row r="3523" spans="1:1">
      <c r="A3523" s="77"/>
    </row>
    <row r="3524" spans="1:1">
      <c r="A3524" s="77"/>
    </row>
    <row r="3525" spans="1:1">
      <c r="A3525" s="77"/>
    </row>
    <row r="3526" spans="1:1">
      <c r="A3526" s="77"/>
    </row>
    <row r="3527" spans="1:1">
      <c r="A3527" s="77"/>
    </row>
    <row r="3528" spans="1:1">
      <c r="A3528" s="77"/>
    </row>
    <row r="3529" spans="1:1">
      <c r="A3529" s="77"/>
    </row>
    <row r="3530" spans="1:1">
      <c r="A3530" s="77"/>
    </row>
    <row r="3531" spans="1:1">
      <c r="A3531" s="77"/>
    </row>
    <row r="3532" spans="1:1">
      <c r="A3532" s="77"/>
    </row>
    <row r="3533" spans="1:1">
      <c r="A3533" s="77"/>
    </row>
    <row r="3534" spans="1:1">
      <c r="A3534" s="77"/>
    </row>
    <row r="3535" spans="1:1">
      <c r="A3535" s="77"/>
    </row>
    <row r="3536" spans="1:1">
      <c r="A3536" s="77"/>
    </row>
    <row r="3537" spans="1:1">
      <c r="A3537" s="77"/>
    </row>
    <row r="3538" spans="1:1">
      <c r="A3538" s="77"/>
    </row>
    <row r="3539" spans="1:1">
      <c r="A3539" s="77"/>
    </row>
    <row r="3540" spans="1:1">
      <c r="A3540" s="77"/>
    </row>
    <row r="3541" spans="1:1">
      <c r="A3541" s="77"/>
    </row>
    <row r="3542" spans="1:1">
      <c r="A3542" s="77"/>
    </row>
    <row r="3543" spans="1:1">
      <c r="A3543" s="77"/>
    </row>
    <row r="3544" spans="1:1">
      <c r="A3544" s="77"/>
    </row>
    <row r="3545" spans="1:1">
      <c r="A3545" s="77"/>
    </row>
    <row r="3546" spans="1:1">
      <c r="A3546" s="77"/>
    </row>
    <row r="3547" spans="1:1">
      <c r="A3547" s="77"/>
    </row>
    <row r="3548" spans="1:1">
      <c r="A3548" s="77"/>
    </row>
    <row r="3549" spans="1:1">
      <c r="A3549" s="77"/>
    </row>
    <row r="3550" spans="1:1">
      <c r="A3550" s="77"/>
    </row>
    <row r="3551" spans="1:1">
      <c r="A3551" s="77"/>
    </row>
    <row r="3552" spans="1:1">
      <c r="A3552" s="77"/>
    </row>
    <row r="3553" spans="1:1">
      <c r="A3553" s="77"/>
    </row>
    <row r="3554" spans="1:1">
      <c r="A3554" s="77"/>
    </row>
    <row r="3555" spans="1:1">
      <c r="A3555" s="77"/>
    </row>
    <row r="3556" spans="1:1">
      <c r="A3556" s="77"/>
    </row>
    <row r="3557" spans="1:1">
      <c r="A3557" s="77"/>
    </row>
    <row r="3558" spans="1:1">
      <c r="A3558" s="77"/>
    </row>
    <row r="3559" spans="1:1">
      <c r="A3559" s="77"/>
    </row>
    <row r="3560" spans="1:1">
      <c r="A3560" s="77"/>
    </row>
    <row r="3561" spans="1:1">
      <c r="A3561" s="77"/>
    </row>
    <row r="3562" spans="1:1">
      <c r="A3562" s="77"/>
    </row>
    <row r="3563" spans="1:1">
      <c r="A3563" s="77"/>
    </row>
    <row r="3564" spans="1:1">
      <c r="A3564" s="77"/>
    </row>
    <row r="3565" spans="1:1">
      <c r="A3565" s="77"/>
    </row>
    <row r="3566" spans="1:1">
      <c r="A3566" s="77"/>
    </row>
    <row r="3567" spans="1:1">
      <c r="A3567" s="77"/>
    </row>
    <row r="3568" spans="1:1">
      <c r="A3568" s="77"/>
    </row>
    <row r="3569" spans="1:1">
      <c r="A3569" s="77"/>
    </row>
    <row r="3570" spans="1:1">
      <c r="A3570" s="77"/>
    </row>
    <row r="3571" spans="1:1">
      <c r="A3571" s="77"/>
    </row>
    <row r="3572" spans="1:1">
      <c r="A3572" s="77"/>
    </row>
    <row r="3573" spans="1:1">
      <c r="A3573" s="77"/>
    </row>
    <row r="3574" spans="1:1">
      <c r="A3574" s="77"/>
    </row>
    <row r="3575" spans="1:1">
      <c r="A3575" s="77"/>
    </row>
    <row r="3576" spans="1:1">
      <c r="A3576" s="77"/>
    </row>
    <row r="3577" spans="1:1">
      <c r="A3577" s="77"/>
    </row>
    <row r="3578" spans="1:1">
      <c r="A3578" s="77"/>
    </row>
    <row r="3579" spans="1:1">
      <c r="A3579" s="77"/>
    </row>
    <row r="3580" spans="1:1">
      <c r="A3580" s="77"/>
    </row>
    <row r="3581" spans="1:1">
      <c r="A3581" s="77"/>
    </row>
    <row r="3582" spans="1:1">
      <c r="A3582" s="77"/>
    </row>
    <row r="3583" spans="1:1">
      <c r="A3583" s="77"/>
    </row>
    <row r="3584" spans="1:1">
      <c r="A3584" s="77"/>
    </row>
    <row r="3585" spans="1:1">
      <c r="A3585" s="77"/>
    </row>
    <row r="3586" spans="1:1">
      <c r="A3586" s="77"/>
    </row>
    <row r="3587" spans="1:1">
      <c r="A3587" s="77"/>
    </row>
    <row r="3588" spans="1:1">
      <c r="A3588" s="77"/>
    </row>
    <row r="3589" spans="1:1">
      <c r="A3589" s="77"/>
    </row>
    <row r="3590" spans="1:1">
      <c r="A3590" s="77"/>
    </row>
    <row r="3591" spans="1:1">
      <c r="A3591" s="77"/>
    </row>
    <row r="3592" spans="1:1">
      <c r="A3592" s="77"/>
    </row>
    <row r="3593" spans="1:1">
      <c r="A3593" s="77"/>
    </row>
    <row r="3594" spans="1:1">
      <c r="A3594" s="77"/>
    </row>
    <row r="3595" spans="1:1">
      <c r="A3595" s="77"/>
    </row>
    <row r="3596" spans="1:1">
      <c r="A3596" s="77"/>
    </row>
    <row r="3597" spans="1:1">
      <c r="A3597" s="77"/>
    </row>
    <row r="3598" spans="1:1">
      <c r="A3598" s="77"/>
    </row>
    <row r="3599" spans="1:1">
      <c r="A3599" s="77"/>
    </row>
    <row r="3600" spans="1:1">
      <c r="A3600" s="77"/>
    </row>
    <row r="3601" spans="1:1">
      <c r="A3601" s="77"/>
    </row>
    <row r="3602" spans="1:1">
      <c r="A3602" s="77"/>
    </row>
    <row r="3603" spans="1:1">
      <c r="A3603" s="77"/>
    </row>
    <row r="3604" spans="1:1">
      <c r="A3604" s="77"/>
    </row>
    <row r="3605" spans="1:1">
      <c r="A3605" s="77"/>
    </row>
    <row r="3606" spans="1:1">
      <c r="A3606" s="77"/>
    </row>
    <row r="3607" spans="1:1">
      <c r="A3607" s="77"/>
    </row>
    <row r="3608" spans="1:1">
      <c r="A3608" s="77"/>
    </row>
    <row r="3609" spans="1:1">
      <c r="A3609" s="77"/>
    </row>
    <row r="3610" spans="1:1">
      <c r="A3610" s="77"/>
    </row>
    <row r="3611" spans="1:1">
      <c r="A3611" s="77"/>
    </row>
    <row r="3612" spans="1:1">
      <c r="A3612" s="77"/>
    </row>
    <row r="3613" spans="1:1">
      <c r="A3613" s="77"/>
    </row>
    <row r="3614" spans="1:1">
      <c r="A3614" s="77"/>
    </row>
    <row r="3615" spans="1:1">
      <c r="A3615" s="77"/>
    </row>
    <row r="3616" spans="1:1">
      <c r="A3616" s="77"/>
    </row>
    <row r="3617" spans="1:1">
      <c r="A3617" s="77"/>
    </row>
    <row r="3618" spans="1:1">
      <c r="A3618" s="77"/>
    </row>
    <row r="3619" spans="1:1">
      <c r="A3619" s="77"/>
    </row>
    <row r="3620" spans="1:1">
      <c r="A3620" s="77"/>
    </row>
    <row r="3621" spans="1:1">
      <c r="A3621" s="77"/>
    </row>
    <row r="3622" spans="1:1">
      <c r="A3622" s="77"/>
    </row>
    <row r="3623" spans="1:1">
      <c r="A3623" s="77"/>
    </row>
    <row r="3624" spans="1:1">
      <c r="A3624" s="77"/>
    </row>
    <row r="3625" spans="1:1">
      <c r="A3625" s="77"/>
    </row>
    <row r="3626" spans="1:1">
      <c r="A3626" s="77"/>
    </row>
    <row r="3627" spans="1:1">
      <c r="A3627" s="77"/>
    </row>
    <row r="3628" spans="1:1">
      <c r="A3628" s="77"/>
    </row>
    <row r="3629" spans="1:1">
      <c r="A3629" s="77"/>
    </row>
    <row r="3630" spans="1:1">
      <c r="A3630" s="77"/>
    </row>
    <row r="3631" spans="1:1">
      <c r="A3631" s="77"/>
    </row>
    <row r="3632" spans="1:1">
      <c r="A3632" s="77"/>
    </row>
    <row r="3633" spans="1:1">
      <c r="A3633" s="77"/>
    </row>
    <row r="3634" spans="1:1">
      <c r="A3634" s="77"/>
    </row>
    <row r="3635" spans="1:1">
      <c r="A3635" s="77"/>
    </row>
    <row r="3636" spans="1:1">
      <c r="A3636" s="77"/>
    </row>
    <row r="3637" spans="1:1">
      <c r="A3637" s="77"/>
    </row>
    <row r="3638" spans="1:1">
      <c r="A3638" s="77"/>
    </row>
    <row r="3639" spans="1:1">
      <c r="A3639" s="77"/>
    </row>
    <row r="3640" spans="1:1">
      <c r="A3640" s="77"/>
    </row>
    <row r="3641" spans="1:1">
      <c r="A3641" s="77"/>
    </row>
    <row r="3642" spans="1:1">
      <c r="A3642" s="77"/>
    </row>
    <row r="3643" spans="1:1">
      <c r="A3643" s="77"/>
    </row>
    <row r="3644" spans="1:1">
      <c r="A3644" s="77"/>
    </row>
    <row r="3645" spans="1:1">
      <c r="A3645" s="77"/>
    </row>
    <row r="3646" spans="1:1">
      <c r="A3646" s="77"/>
    </row>
    <row r="3647" spans="1:1">
      <c r="A3647" s="77"/>
    </row>
    <row r="3648" spans="1:1">
      <c r="A3648" s="77"/>
    </row>
    <row r="3649" spans="1:1">
      <c r="A3649" s="77"/>
    </row>
    <row r="3650" spans="1:1">
      <c r="A3650" s="77"/>
    </row>
    <row r="3651" spans="1:1">
      <c r="A3651" s="77"/>
    </row>
    <row r="3652" spans="1:1">
      <c r="A3652" s="77"/>
    </row>
    <row r="3653" spans="1:1">
      <c r="A3653" s="77"/>
    </row>
    <row r="3654" spans="1:1">
      <c r="A3654" s="77"/>
    </row>
    <row r="3655" spans="1:1">
      <c r="A3655" s="77"/>
    </row>
    <row r="3656" spans="1:1">
      <c r="A3656" s="77"/>
    </row>
    <row r="3657" spans="1:1">
      <c r="A3657" s="77"/>
    </row>
    <row r="3658" spans="1:1">
      <c r="A3658" s="77"/>
    </row>
    <row r="3659" spans="1:1">
      <c r="A3659" s="77"/>
    </row>
    <row r="3660" spans="1:1">
      <c r="A3660" s="77"/>
    </row>
    <row r="3661" spans="1:1">
      <c r="A3661" s="77"/>
    </row>
    <row r="3662" spans="1:1">
      <c r="A3662" s="77"/>
    </row>
    <row r="3663" spans="1:1">
      <c r="A3663" s="77"/>
    </row>
    <row r="3664" spans="1:1">
      <c r="A3664" s="77"/>
    </row>
    <row r="3665" spans="1:1">
      <c r="A3665" s="77"/>
    </row>
    <row r="3666" spans="1:1">
      <c r="A3666" s="77"/>
    </row>
    <row r="3667" spans="1:1">
      <c r="A3667" s="77"/>
    </row>
    <row r="3668" spans="1:1">
      <c r="A3668" s="77"/>
    </row>
    <row r="3669" spans="1:1">
      <c r="A3669" s="77"/>
    </row>
    <row r="3670" spans="1:1">
      <c r="A3670" s="77"/>
    </row>
    <row r="3671" spans="1:1">
      <c r="A3671" s="77"/>
    </row>
    <row r="3672" spans="1:1">
      <c r="A3672" s="77"/>
    </row>
    <row r="3673" spans="1:1">
      <c r="A3673" s="77"/>
    </row>
    <row r="3674" spans="1:1">
      <c r="A3674" s="77"/>
    </row>
    <row r="3675" spans="1:1">
      <c r="A3675" s="77"/>
    </row>
    <row r="3676" spans="1:1">
      <c r="A3676" s="77"/>
    </row>
    <row r="3677" spans="1:1">
      <c r="A3677" s="77"/>
    </row>
    <row r="3678" spans="1:1">
      <c r="A3678" s="77"/>
    </row>
    <row r="3679" spans="1:1">
      <c r="A3679" s="77"/>
    </row>
    <row r="3680" spans="1:1">
      <c r="A3680" s="77"/>
    </row>
    <row r="3681" spans="1:1">
      <c r="A3681" s="77"/>
    </row>
    <row r="3682" spans="1:1">
      <c r="A3682" s="77"/>
    </row>
    <row r="3683" spans="1:1">
      <c r="A3683" s="77"/>
    </row>
    <row r="3684" spans="1:1">
      <c r="A3684" s="77"/>
    </row>
    <row r="3685" spans="1:1">
      <c r="A3685" s="77"/>
    </row>
    <row r="3686" spans="1:1">
      <c r="A3686" s="77"/>
    </row>
    <row r="3687" spans="1:1">
      <c r="A3687" s="77"/>
    </row>
    <row r="3688" spans="1:1">
      <c r="A3688" s="77"/>
    </row>
    <row r="3689" spans="1:1">
      <c r="A3689" s="77"/>
    </row>
    <row r="3690" spans="1:1">
      <c r="A3690" s="77"/>
    </row>
    <row r="3691" spans="1:1">
      <c r="A3691" s="77"/>
    </row>
    <row r="3692" spans="1:1">
      <c r="A3692" s="77"/>
    </row>
    <row r="3693" spans="1:1">
      <c r="A3693" s="77"/>
    </row>
    <row r="3694" spans="1:1">
      <c r="A3694" s="77"/>
    </row>
    <row r="3695" spans="1:1">
      <c r="A3695" s="77"/>
    </row>
    <row r="3696" spans="1:1">
      <c r="A3696" s="77"/>
    </row>
    <row r="3697" spans="1:1">
      <c r="A3697" s="77"/>
    </row>
    <row r="3698" spans="1:1">
      <c r="A3698" s="77"/>
    </row>
    <row r="3699" spans="1:1">
      <c r="A3699" s="77"/>
    </row>
    <row r="3700" spans="1:1">
      <c r="A3700" s="77"/>
    </row>
    <row r="3701" spans="1:1">
      <c r="A3701" s="77"/>
    </row>
    <row r="3702" spans="1:1">
      <c r="A3702" s="77"/>
    </row>
    <row r="3703" spans="1:1">
      <c r="A3703" s="77"/>
    </row>
    <row r="3704" spans="1:1">
      <c r="A3704" s="77"/>
    </row>
    <row r="3705" spans="1:1">
      <c r="A3705" s="77"/>
    </row>
    <row r="3706" spans="1:1">
      <c r="A3706" s="77"/>
    </row>
    <row r="3707" spans="1:1">
      <c r="A3707" s="77"/>
    </row>
    <row r="3708" spans="1:1">
      <c r="A3708" s="77"/>
    </row>
    <row r="3709" spans="1:1">
      <c r="A3709" s="77"/>
    </row>
    <row r="3710" spans="1:1">
      <c r="A3710" s="77"/>
    </row>
    <row r="3711" spans="1:1">
      <c r="A3711" s="77"/>
    </row>
    <row r="3712" spans="1:1">
      <c r="A3712" s="77"/>
    </row>
    <row r="3713" spans="1:1">
      <c r="A3713" s="77"/>
    </row>
    <row r="3714" spans="1:1">
      <c r="A3714" s="77"/>
    </row>
    <row r="3715" spans="1:1">
      <c r="A3715" s="77"/>
    </row>
    <row r="3716" spans="1:1">
      <c r="A3716" s="77"/>
    </row>
    <row r="3717" spans="1:1">
      <c r="A3717" s="77"/>
    </row>
    <row r="3718" spans="1:1">
      <c r="A3718" s="77"/>
    </row>
    <row r="3719" spans="1:1">
      <c r="A3719" s="77"/>
    </row>
    <row r="3720" spans="1:1">
      <c r="A3720" s="77"/>
    </row>
    <row r="3721" spans="1:1">
      <c r="A3721" s="77"/>
    </row>
    <row r="3722" spans="1:1">
      <c r="A3722" s="77"/>
    </row>
    <row r="3723" spans="1:1">
      <c r="A3723" s="77"/>
    </row>
    <row r="3724" spans="1:1">
      <c r="A3724" s="77"/>
    </row>
    <row r="3725" spans="1:1">
      <c r="A3725" s="77"/>
    </row>
    <row r="3726" spans="1:1">
      <c r="A3726" s="77"/>
    </row>
    <row r="3727" spans="1:1">
      <c r="A3727" s="77"/>
    </row>
    <row r="3728" spans="1:1">
      <c r="A3728" s="77"/>
    </row>
    <row r="3729" spans="1:1">
      <c r="A3729" s="77"/>
    </row>
    <row r="3730" spans="1:1">
      <c r="A3730" s="77"/>
    </row>
    <row r="3731" spans="1:1">
      <c r="A3731" s="77"/>
    </row>
    <row r="3732" spans="1:1">
      <c r="A3732" s="77"/>
    </row>
    <row r="3733" spans="1:1">
      <c r="A3733" s="77"/>
    </row>
    <row r="3734" spans="1:1">
      <c r="A3734" s="77"/>
    </row>
    <row r="3735" spans="1:1">
      <c r="A3735" s="77"/>
    </row>
    <row r="3736" spans="1:1">
      <c r="A3736" s="77"/>
    </row>
    <row r="3737" spans="1:1">
      <c r="A3737" s="77"/>
    </row>
    <row r="3738" spans="1:1">
      <c r="A3738" s="77"/>
    </row>
    <row r="3739" spans="1:1">
      <c r="A3739" s="77"/>
    </row>
    <row r="3740" spans="1:1">
      <c r="A3740" s="77"/>
    </row>
    <row r="3741" spans="1:1">
      <c r="A3741" s="77"/>
    </row>
    <row r="3742" spans="1:1">
      <c r="A3742" s="77"/>
    </row>
    <row r="3743" spans="1:1">
      <c r="A3743" s="77"/>
    </row>
    <row r="3744" spans="1:1">
      <c r="A3744" s="77"/>
    </row>
    <row r="3745" spans="1:1">
      <c r="A3745" s="77"/>
    </row>
    <row r="3746" spans="1:1">
      <c r="A3746" s="77"/>
    </row>
    <row r="3747" spans="1:1">
      <c r="A3747" s="77"/>
    </row>
    <row r="3748" spans="1:1">
      <c r="A3748" s="77"/>
    </row>
    <row r="3749" spans="1:1">
      <c r="A3749" s="77"/>
    </row>
    <row r="3750" spans="1:1">
      <c r="A3750" s="77"/>
    </row>
    <row r="3751" spans="1:1">
      <c r="A3751" s="77"/>
    </row>
    <row r="3752" spans="1:1">
      <c r="A3752" s="77"/>
    </row>
    <row r="3753" spans="1:1">
      <c r="A3753" s="77"/>
    </row>
    <row r="3754" spans="1:1">
      <c r="A3754" s="77"/>
    </row>
    <row r="3755" spans="1:1">
      <c r="A3755" s="77"/>
    </row>
    <row r="3756" spans="1:1">
      <c r="A3756" s="77"/>
    </row>
    <row r="3757" spans="1:1">
      <c r="A3757" s="77"/>
    </row>
    <row r="3758" spans="1:1">
      <c r="A3758" s="77"/>
    </row>
    <row r="3759" spans="1:1">
      <c r="A3759" s="77"/>
    </row>
    <row r="3760" spans="1:1">
      <c r="A3760" s="77"/>
    </row>
    <row r="3761" spans="1:1">
      <c r="A3761" s="77"/>
    </row>
    <row r="3762" spans="1:1">
      <c r="A3762" s="77"/>
    </row>
    <row r="3763" spans="1:1">
      <c r="A3763" s="77"/>
    </row>
    <row r="3764" spans="1:1">
      <c r="A3764" s="77"/>
    </row>
    <row r="3765" spans="1:1">
      <c r="A3765" s="77"/>
    </row>
    <row r="3766" spans="1:1">
      <c r="A3766" s="77"/>
    </row>
    <row r="3767" spans="1:1">
      <c r="A3767" s="77"/>
    </row>
    <row r="3768" spans="1:1">
      <c r="A3768" s="77"/>
    </row>
    <row r="3769" spans="1:1">
      <c r="A3769" s="77"/>
    </row>
    <row r="3770" spans="1:1">
      <c r="A3770" s="77"/>
    </row>
    <row r="3771" spans="1:1">
      <c r="A3771" s="77"/>
    </row>
    <row r="3772" spans="1:1">
      <c r="A3772" s="77"/>
    </row>
    <row r="3773" spans="1:1">
      <c r="A3773" s="77"/>
    </row>
    <row r="3774" spans="1:1">
      <c r="A3774" s="77"/>
    </row>
    <row r="3775" spans="1:1">
      <c r="A3775" s="77"/>
    </row>
    <row r="3776" spans="1:1">
      <c r="A3776" s="77"/>
    </row>
    <row r="3777" spans="1:1">
      <c r="A3777" s="77"/>
    </row>
    <row r="3778" spans="1:1">
      <c r="A3778" s="77"/>
    </row>
    <row r="3779" spans="1:1">
      <c r="A3779" s="77"/>
    </row>
    <row r="3780" spans="1:1">
      <c r="A3780" s="77"/>
    </row>
    <row r="3781" spans="1:1">
      <c r="A3781" s="77"/>
    </row>
    <row r="3782" spans="1:1">
      <c r="A3782" s="77"/>
    </row>
    <row r="3783" spans="1:1">
      <c r="A3783" s="77"/>
    </row>
    <row r="3784" spans="1:1">
      <c r="A3784" s="77"/>
    </row>
    <row r="3785" spans="1:1">
      <c r="A3785" s="77"/>
    </row>
    <row r="3786" spans="1:1">
      <c r="A3786" s="77"/>
    </row>
    <row r="3787" spans="1:1">
      <c r="A3787" s="77"/>
    </row>
    <row r="3788" spans="1:1">
      <c r="A3788" s="77"/>
    </row>
    <row r="3789" spans="1:1">
      <c r="A3789" s="77"/>
    </row>
    <row r="3790" spans="1:1">
      <c r="A3790" s="77"/>
    </row>
    <row r="3791" spans="1:1">
      <c r="A3791" s="77"/>
    </row>
    <row r="3792" spans="1:1">
      <c r="A3792" s="77"/>
    </row>
    <row r="3793" spans="1:1">
      <c r="A3793" s="77"/>
    </row>
    <row r="3794" spans="1:1">
      <c r="A3794" s="77"/>
    </row>
    <row r="3795" spans="1:1">
      <c r="A3795" s="77"/>
    </row>
    <row r="3796" spans="1:1">
      <c r="A3796" s="77"/>
    </row>
    <row r="3797" spans="1:1">
      <c r="A3797" s="77"/>
    </row>
    <row r="3798" spans="1:1">
      <c r="A3798" s="77"/>
    </row>
    <row r="3799" spans="1:1">
      <c r="A3799" s="77"/>
    </row>
    <row r="3800" spans="1:1">
      <c r="A3800" s="77"/>
    </row>
    <row r="3801" spans="1:1">
      <c r="A3801" s="77"/>
    </row>
    <row r="3802" spans="1:1">
      <c r="A3802" s="77"/>
    </row>
    <row r="3803" spans="1:1">
      <c r="A3803" s="77"/>
    </row>
    <row r="3804" spans="1:1">
      <c r="A3804" s="77"/>
    </row>
    <row r="3805" spans="1:1">
      <c r="A3805" s="77"/>
    </row>
    <row r="3806" spans="1:1">
      <c r="A3806" s="77"/>
    </row>
    <row r="3807" spans="1:1">
      <c r="A3807" s="77"/>
    </row>
    <row r="3808" spans="1:1">
      <c r="A3808" s="77"/>
    </row>
    <row r="3809" spans="1:1">
      <c r="A3809" s="77"/>
    </row>
    <row r="3810" spans="1:1">
      <c r="A3810" s="77"/>
    </row>
    <row r="3811" spans="1:1">
      <c r="A3811" s="77"/>
    </row>
    <row r="3812" spans="1:1">
      <c r="A3812" s="77"/>
    </row>
    <row r="3813" spans="1:1">
      <c r="A3813" s="77"/>
    </row>
    <row r="3814" spans="1:1">
      <c r="A3814" s="77"/>
    </row>
    <row r="3815" spans="1:1">
      <c r="A3815" s="77"/>
    </row>
    <row r="3816" spans="1:1">
      <c r="A3816" s="77"/>
    </row>
    <row r="3817" spans="1:1">
      <c r="A3817" s="77"/>
    </row>
    <row r="3818" spans="1:1">
      <c r="A3818" s="77"/>
    </row>
    <row r="3819" spans="1:1">
      <c r="A3819" s="77"/>
    </row>
    <row r="3820" spans="1:1">
      <c r="A3820" s="77"/>
    </row>
    <row r="3821" spans="1:1">
      <c r="A3821" s="77"/>
    </row>
    <row r="3822" spans="1:1">
      <c r="A3822" s="77"/>
    </row>
    <row r="3823" spans="1:1">
      <c r="A3823" s="77"/>
    </row>
    <row r="3824" spans="1:1">
      <c r="A3824" s="77"/>
    </row>
    <row r="3825" spans="1:1">
      <c r="A3825" s="77"/>
    </row>
    <row r="3826" spans="1:1">
      <c r="A3826" s="77"/>
    </row>
    <row r="3827" spans="1:1">
      <c r="A3827" s="77"/>
    </row>
    <row r="3828" spans="1:1">
      <c r="A3828" s="77"/>
    </row>
    <row r="3829" spans="1:1">
      <c r="A3829" s="77"/>
    </row>
    <row r="3830" spans="1:1">
      <c r="A3830" s="77"/>
    </row>
    <row r="3831" spans="1:1">
      <c r="A3831" s="77"/>
    </row>
    <row r="3832" spans="1:1">
      <c r="A3832" s="77"/>
    </row>
    <row r="3833" spans="1:1">
      <c r="A3833" s="77"/>
    </row>
    <row r="3834" spans="1:1">
      <c r="A3834" s="77"/>
    </row>
    <row r="3835" spans="1:1">
      <c r="A3835" s="77"/>
    </row>
    <row r="3836" spans="1:1">
      <c r="A3836" s="77"/>
    </row>
    <row r="3837" spans="1:1">
      <c r="A3837" s="77"/>
    </row>
    <row r="3838" spans="1:1">
      <c r="A3838" s="77"/>
    </row>
    <row r="3839" spans="1:1">
      <c r="A3839" s="77"/>
    </row>
    <row r="3840" spans="1:1">
      <c r="A3840" s="77"/>
    </row>
    <row r="3841" spans="1:1">
      <c r="A3841" s="77"/>
    </row>
    <row r="3842" spans="1:1">
      <c r="A3842" s="77"/>
    </row>
    <row r="3843" spans="1:1">
      <c r="A3843" s="77"/>
    </row>
    <row r="3844" spans="1:1">
      <c r="A3844" s="77"/>
    </row>
    <row r="3845" spans="1:1">
      <c r="A3845" s="77"/>
    </row>
    <row r="3846" spans="1:1">
      <c r="A3846" s="77"/>
    </row>
    <row r="3847" spans="1:1">
      <c r="A3847" s="77"/>
    </row>
    <row r="3848" spans="1:1">
      <c r="A3848" s="77"/>
    </row>
    <row r="3849" spans="1:1">
      <c r="A3849" s="77"/>
    </row>
    <row r="3850" spans="1:1">
      <c r="A3850" s="77"/>
    </row>
    <row r="3851" spans="1:1">
      <c r="A3851" s="77"/>
    </row>
    <row r="3852" spans="1:1">
      <c r="A3852" s="77"/>
    </row>
    <row r="3853" spans="1:1">
      <c r="A3853" s="77"/>
    </row>
    <row r="3854" spans="1:1">
      <c r="A3854" s="77"/>
    </row>
    <row r="3855" spans="1:1">
      <c r="A3855" s="77"/>
    </row>
    <row r="3856" spans="1:1">
      <c r="A3856" s="77"/>
    </row>
    <row r="3857" spans="1:1">
      <c r="A3857" s="77"/>
    </row>
    <row r="3858" spans="1:1">
      <c r="A3858" s="77"/>
    </row>
    <row r="3859" spans="1:1">
      <c r="A3859" s="77"/>
    </row>
    <row r="3860" spans="1:1">
      <c r="A3860" s="77"/>
    </row>
    <row r="3861" spans="1:1">
      <c r="A3861" s="77"/>
    </row>
    <row r="3862" spans="1:1">
      <c r="A3862" s="77"/>
    </row>
    <row r="3863" spans="1:1">
      <c r="A3863" s="77"/>
    </row>
    <row r="3864" spans="1:1">
      <c r="A3864" s="77"/>
    </row>
    <row r="3865" spans="1:1">
      <c r="A3865" s="77"/>
    </row>
    <row r="3866" spans="1:1">
      <c r="A3866" s="77"/>
    </row>
    <row r="3867" spans="1:1">
      <c r="A3867" s="77"/>
    </row>
    <row r="3868" spans="1:1">
      <c r="A3868" s="77"/>
    </row>
    <row r="3869" spans="1:1">
      <c r="A3869" s="77"/>
    </row>
    <row r="3870" spans="1:1">
      <c r="A3870" s="77"/>
    </row>
    <row r="3871" spans="1:1">
      <c r="A3871" s="77"/>
    </row>
    <row r="3872" spans="1:1">
      <c r="A3872" s="77"/>
    </row>
    <row r="3873" spans="1:1">
      <c r="A3873" s="77"/>
    </row>
    <row r="3874" spans="1:1">
      <c r="A3874" s="77"/>
    </row>
    <row r="3875" spans="1:1">
      <c r="A3875" s="77"/>
    </row>
    <row r="3876" spans="1:1">
      <c r="A3876" s="77"/>
    </row>
    <row r="3877" spans="1:1">
      <c r="A3877" s="77"/>
    </row>
    <row r="3878" spans="1:1">
      <c r="A3878" s="77"/>
    </row>
    <row r="3879" spans="1:1">
      <c r="A3879" s="77"/>
    </row>
    <row r="3880" spans="1:1">
      <c r="A3880" s="77"/>
    </row>
    <row r="3881" spans="1:1">
      <c r="A3881" s="77"/>
    </row>
    <row r="3882" spans="1:1">
      <c r="A3882" s="77"/>
    </row>
    <row r="3883" spans="1:1">
      <c r="A3883" s="77"/>
    </row>
    <row r="3884" spans="1:1">
      <c r="A3884" s="77"/>
    </row>
    <row r="3885" spans="1:1">
      <c r="A3885" s="77"/>
    </row>
    <row r="3886" spans="1:1">
      <c r="A3886" s="77"/>
    </row>
    <row r="3887" spans="1:1">
      <c r="A3887" s="77"/>
    </row>
    <row r="3888" spans="1:1">
      <c r="A3888" s="77"/>
    </row>
    <row r="3889" spans="1:1">
      <c r="A3889" s="77"/>
    </row>
    <row r="3890" spans="1:1">
      <c r="A3890" s="77"/>
    </row>
    <row r="3891" spans="1:1">
      <c r="A3891" s="77"/>
    </row>
    <row r="3892" spans="1:1">
      <c r="A3892" s="77"/>
    </row>
    <row r="3893" spans="1:1">
      <c r="A3893" s="77"/>
    </row>
    <row r="3894" spans="1:1">
      <c r="A3894" s="77"/>
    </row>
    <row r="3895" spans="1:1">
      <c r="A3895" s="77"/>
    </row>
    <row r="3896" spans="1:1">
      <c r="A3896" s="77"/>
    </row>
    <row r="3897" spans="1:1">
      <c r="A3897" s="77"/>
    </row>
    <row r="3898" spans="1:1">
      <c r="A3898" s="77"/>
    </row>
    <row r="3899" spans="1:1">
      <c r="A3899" s="77"/>
    </row>
    <row r="3900" spans="1:1">
      <c r="A3900" s="77"/>
    </row>
    <row r="3901" spans="1:1">
      <c r="A3901" s="77"/>
    </row>
    <row r="3902" spans="1:1">
      <c r="A3902" s="77"/>
    </row>
    <row r="3903" spans="1:1">
      <c r="A3903" s="77"/>
    </row>
    <row r="3904" spans="1:1">
      <c r="A3904" s="77"/>
    </row>
    <row r="3905" spans="1:1">
      <c r="A3905" s="77"/>
    </row>
    <row r="3906" spans="1:1">
      <c r="A3906" s="77"/>
    </row>
    <row r="3907" spans="1:1">
      <c r="A3907" s="77"/>
    </row>
    <row r="3908" spans="1:1">
      <c r="A3908" s="77"/>
    </row>
    <row r="3909" spans="1:1">
      <c r="A3909" s="77"/>
    </row>
    <row r="3910" spans="1:1">
      <c r="A3910" s="77"/>
    </row>
    <row r="3911" spans="1:1">
      <c r="A3911" s="77"/>
    </row>
    <row r="3912" spans="1:1">
      <c r="A3912" s="77"/>
    </row>
    <row r="3913" spans="1:1">
      <c r="A3913" s="77"/>
    </row>
    <row r="3914" spans="1:1">
      <c r="A3914" s="77"/>
    </row>
    <row r="3915" spans="1:1">
      <c r="A3915" s="77"/>
    </row>
    <row r="3916" spans="1:1">
      <c r="A3916" s="77"/>
    </row>
    <row r="3917" spans="1:1">
      <c r="A3917" s="77"/>
    </row>
    <row r="3918" spans="1:1">
      <c r="A3918" s="77"/>
    </row>
    <row r="3919" spans="1:1">
      <c r="A3919" s="77"/>
    </row>
    <row r="3920" spans="1:1">
      <c r="A3920" s="77"/>
    </row>
    <row r="3921" spans="1:1">
      <c r="A3921" s="77"/>
    </row>
    <row r="3922" spans="1:1">
      <c r="A3922" s="77"/>
    </row>
    <row r="3923" spans="1:1">
      <c r="A3923" s="77"/>
    </row>
    <row r="3924" spans="1:1">
      <c r="A3924" s="77"/>
    </row>
    <row r="3925" spans="1:1">
      <c r="A3925" s="77"/>
    </row>
    <row r="3926" spans="1:1">
      <c r="A3926" s="77"/>
    </row>
    <row r="3927" spans="1:1">
      <c r="A3927" s="77"/>
    </row>
    <row r="3928" spans="1:1">
      <c r="A3928" s="77"/>
    </row>
    <row r="3929" spans="1:1">
      <c r="A3929" s="77"/>
    </row>
    <row r="3930" spans="1:1">
      <c r="A3930" s="77"/>
    </row>
    <row r="3931" spans="1:1">
      <c r="A3931" s="77"/>
    </row>
    <row r="3932" spans="1:1">
      <c r="A3932" s="77"/>
    </row>
    <row r="3933" spans="1:1">
      <c r="A3933" s="77"/>
    </row>
    <row r="3934" spans="1:1">
      <c r="A3934" s="77"/>
    </row>
    <row r="3935" spans="1:1">
      <c r="A3935" s="77"/>
    </row>
    <row r="3936" spans="1:1">
      <c r="A3936" s="77"/>
    </row>
    <row r="3937" spans="1:1">
      <c r="A3937" s="77"/>
    </row>
    <row r="3938" spans="1:1">
      <c r="A3938" s="77"/>
    </row>
    <row r="3939" spans="1:1">
      <c r="A3939" s="76"/>
    </row>
    <row r="3940" spans="1:1">
      <c r="A3940" s="77"/>
    </row>
    <row r="3941" spans="1:1">
      <c r="A3941" s="77"/>
    </row>
    <row r="3942" spans="1:1">
      <c r="A3942" s="77"/>
    </row>
    <row r="3943" spans="1:1">
      <c r="A3943" s="77"/>
    </row>
    <row r="3944" spans="1:1">
      <c r="A3944" s="77"/>
    </row>
    <row r="3945" spans="1:1">
      <c r="A3945" s="77"/>
    </row>
    <row r="3946" spans="1:1">
      <c r="A3946" s="77"/>
    </row>
    <row r="3947" spans="1:1">
      <c r="A3947" s="77"/>
    </row>
    <row r="3948" spans="1:1">
      <c r="A3948" s="77"/>
    </row>
    <row r="3949" spans="1:1">
      <c r="A3949" s="77"/>
    </row>
    <row r="3950" spans="1:1">
      <c r="A3950" s="77"/>
    </row>
    <row r="3951" spans="1:1">
      <c r="A3951" s="77"/>
    </row>
    <row r="3952" spans="1:1">
      <c r="A3952" s="77"/>
    </row>
    <row r="3953" spans="1:1">
      <c r="A3953" s="77"/>
    </row>
    <row r="3954" spans="1:1">
      <c r="A3954" s="77"/>
    </row>
    <row r="3955" spans="1:1">
      <c r="A3955" s="77"/>
    </row>
    <row r="3956" spans="1:1">
      <c r="A3956" s="77"/>
    </row>
    <row r="3957" spans="1:1">
      <c r="A3957" s="77"/>
    </row>
    <row r="3958" spans="1:1">
      <c r="A3958" s="77"/>
    </row>
    <row r="3959" spans="1:1">
      <c r="A3959" s="77"/>
    </row>
    <row r="3960" spans="1:1">
      <c r="A3960" s="77"/>
    </row>
    <row r="3961" spans="1:1">
      <c r="A3961" s="77"/>
    </row>
    <row r="3962" spans="1:1">
      <c r="A3962" s="76"/>
    </row>
    <row r="3963" spans="1:1">
      <c r="A3963" s="77"/>
    </row>
    <row r="3964" spans="1:1">
      <c r="A3964" s="77"/>
    </row>
    <row r="3965" spans="1:1">
      <c r="A3965" s="77"/>
    </row>
    <row r="3966" spans="1:1">
      <c r="A3966" s="77"/>
    </row>
    <row r="3967" spans="1:1">
      <c r="A3967" s="77"/>
    </row>
    <row r="3968" spans="1:1">
      <c r="A3968" s="77"/>
    </row>
    <row r="3969" spans="1:1">
      <c r="A3969" s="77"/>
    </row>
    <row r="3970" spans="1:1">
      <c r="A3970" s="77"/>
    </row>
    <row r="3971" spans="1:1">
      <c r="A3971" s="77"/>
    </row>
    <row r="3972" spans="1:1">
      <c r="A3972" s="77"/>
    </row>
    <row r="3973" spans="1:1">
      <c r="A3973" s="77"/>
    </row>
    <row r="3974" spans="1:1">
      <c r="A3974" s="77"/>
    </row>
    <row r="3975" spans="1:1">
      <c r="A3975" s="77"/>
    </row>
    <row r="3976" spans="1:1">
      <c r="A3976" s="77"/>
    </row>
    <row r="3977" spans="1:1">
      <c r="A3977" s="77"/>
    </row>
    <row r="3978" spans="1:1">
      <c r="A3978" s="77"/>
    </row>
    <row r="3979" spans="1:1">
      <c r="A3979" s="77"/>
    </row>
    <row r="3980" spans="1:1">
      <c r="A3980" s="77"/>
    </row>
    <row r="3981" spans="1:1">
      <c r="A3981" s="77"/>
    </row>
    <row r="3982" spans="1:1">
      <c r="A3982" s="77"/>
    </row>
    <row r="3983" spans="1:1">
      <c r="A3983" s="77"/>
    </row>
    <row r="3984" spans="1:1">
      <c r="A3984" s="77"/>
    </row>
    <row r="3985" spans="1:1">
      <c r="A3985" s="77"/>
    </row>
    <row r="3986" spans="1:1">
      <c r="A3986" s="77"/>
    </row>
    <row r="3987" spans="1:1">
      <c r="A3987" s="77"/>
    </row>
    <row r="3988" spans="1:1">
      <c r="A3988" s="77"/>
    </row>
    <row r="3989" spans="1:1">
      <c r="A3989" s="77"/>
    </row>
    <row r="3990" spans="1:1">
      <c r="A3990" s="77"/>
    </row>
    <row r="3991" spans="1:1">
      <c r="A3991" s="77"/>
    </row>
    <row r="3992" spans="1:1">
      <c r="A3992" s="77"/>
    </row>
    <row r="3993" spans="1:1">
      <c r="A3993" s="77"/>
    </row>
    <row r="3994" spans="1:1">
      <c r="A3994" s="77"/>
    </row>
    <row r="3995" spans="1:1">
      <c r="A3995" s="77"/>
    </row>
    <row r="3996" spans="1:1">
      <c r="A3996" s="77"/>
    </row>
    <row r="3997" spans="1:1">
      <c r="A3997" s="77"/>
    </row>
    <row r="3998" spans="1:1">
      <c r="A3998" s="77"/>
    </row>
    <row r="3999" spans="1:1">
      <c r="A3999" s="77"/>
    </row>
    <row r="4000" spans="1:1">
      <c r="A4000" s="77"/>
    </row>
    <row r="4001" spans="1:1">
      <c r="A4001" s="77"/>
    </row>
    <row r="4002" spans="1:1">
      <c r="A4002" s="77"/>
    </row>
    <row r="4003" spans="1:1">
      <c r="A4003" s="77"/>
    </row>
    <row r="4004" spans="1:1">
      <c r="A4004" s="77"/>
    </row>
    <row r="4005" spans="1:1">
      <c r="A4005" s="77"/>
    </row>
    <row r="4006" spans="1:1">
      <c r="A4006" s="77"/>
    </row>
    <row r="4007" spans="1:1">
      <c r="A4007" s="76"/>
    </row>
    <row r="4008" spans="1:1">
      <c r="A4008" s="77"/>
    </row>
    <row r="4009" spans="1:1">
      <c r="A4009" s="76"/>
    </row>
    <row r="4010" spans="1:1">
      <c r="A4010" s="77"/>
    </row>
    <row r="4011" spans="1:1">
      <c r="A4011" s="77"/>
    </row>
    <row r="4012" spans="1:1">
      <c r="A4012" s="77"/>
    </row>
    <row r="4013" spans="1:1">
      <c r="A4013" s="77"/>
    </row>
    <row r="4014" spans="1:1">
      <c r="A4014" s="77"/>
    </row>
    <row r="4015" spans="1:1">
      <c r="A4015" s="76"/>
    </row>
    <row r="4016" spans="1:1">
      <c r="A4016" s="77"/>
    </row>
    <row r="4017" spans="1:1">
      <c r="A4017" s="76"/>
    </row>
    <row r="4018" spans="1:1">
      <c r="A4018" s="77"/>
    </row>
    <row r="4019" spans="1:1">
      <c r="A4019" s="76"/>
    </row>
    <row r="4020" spans="1:1">
      <c r="A4020" s="77"/>
    </row>
    <row r="4021" spans="1:1">
      <c r="A4021" s="77"/>
    </row>
    <row r="4022" spans="1:1">
      <c r="A4022" s="77"/>
    </row>
    <row r="4023" spans="1:1">
      <c r="A4023" s="77"/>
    </row>
    <row r="4024" spans="1:1">
      <c r="A4024" s="76"/>
    </row>
    <row r="4025" spans="1:1">
      <c r="A4025" s="77"/>
    </row>
    <row r="4026" spans="1:1">
      <c r="A4026" s="77"/>
    </row>
    <row r="4027" spans="1:1">
      <c r="A4027" s="77"/>
    </row>
    <row r="4028" spans="1:1">
      <c r="A4028" s="77"/>
    </row>
    <row r="4029" spans="1:1">
      <c r="A4029" s="76"/>
    </row>
    <row r="4030" spans="1:1">
      <c r="A4030" s="77"/>
    </row>
    <row r="4031" spans="1:1">
      <c r="A4031" s="77"/>
    </row>
    <row r="4032" spans="1:1">
      <c r="A4032" s="77"/>
    </row>
    <row r="4033" spans="1:1">
      <c r="A4033" s="77"/>
    </row>
    <row r="4034" spans="1:1">
      <c r="A4034" s="76"/>
    </row>
    <row r="4035" spans="1:1">
      <c r="A4035" s="77"/>
    </row>
    <row r="4036" spans="1:1">
      <c r="A4036" s="77"/>
    </row>
    <row r="4037" spans="1:1">
      <c r="A4037" s="77"/>
    </row>
    <row r="4038" spans="1:1">
      <c r="A4038" s="77"/>
    </row>
    <row r="4039" spans="1:1">
      <c r="A4039" s="77"/>
    </row>
    <row r="4040" spans="1:1">
      <c r="A4040" s="76"/>
    </row>
    <row r="4041" spans="1:1">
      <c r="A4041" s="77"/>
    </row>
    <row r="4042" spans="1:1">
      <c r="A4042" s="77"/>
    </row>
    <row r="4043" spans="1:1">
      <c r="A4043" s="77"/>
    </row>
    <row r="4044" spans="1:1">
      <c r="A4044" s="77"/>
    </row>
    <row r="4045" spans="1:1">
      <c r="A4045" s="76"/>
    </row>
    <row r="4046" spans="1:1">
      <c r="A4046" s="77"/>
    </row>
    <row r="4047" spans="1:1">
      <c r="A4047" s="77"/>
    </row>
    <row r="4048" spans="1:1">
      <c r="A4048" s="77"/>
    </row>
    <row r="4049" spans="1:1">
      <c r="A4049" s="77"/>
    </row>
    <row r="4050" spans="1:1">
      <c r="A4050" s="77"/>
    </row>
    <row r="4051" spans="1:1">
      <c r="A4051" s="76"/>
    </row>
    <row r="4052" spans="1:1">
      <c r="A4052" s="77"/>
    </row>
    <row r="4053" spans="1:1">
      <c r="A4053" s="77"/>
    </row>
    <row r="4054" spans="1:1">
      <c r="A4054" s="77"/>
    </row>
    <row r="4055" spans="1:1">
      <c r="A4055" s="77"/>
    </row>
    <row r="4056" spans="1:1">
      <c r="A4056" s="76"/>
    </row>
    <row r="4057" spans="1:1">
      <c r="A4057" s="77"/>
    </row>
    <row r="4058" spans="1:1">
      <c r="A4058" s="77"/>
    </row>
    <row r="4059" spans="1:1">
      <c r="A4059" s="77"/>
    </row>
    <row r="4060" spans="1:1">
      <c r="A4060" s="77"/>
    </row>
    <row r="4061" spans="1:1">
      <c r="A4061" s="76"/>
    </row>
    <row r="4062" spans="1:1">
      <c r="A4062" s="77"/>
    </row>
    <row r="4063" spans="1:1">
      <c r="A4063" s="77"/>
    </row>
    <row r="4064" spans="1:1">
      <c r="A4064" s="77"/>
    </row>
    <row r="4065" spans="1:1">
      <c r="A4065" s="77"/>
    </row>
    <row r="4066" spans="1:1">
      <c r="A4066" s="76"/>
    </row>
    <row r="4067" spans="1:1">
      <c r="A4067" s="77"/>
    </row>
    <row r="4068" spans="1:1">
      <c r="A4068" s="77"/>
    </row>
    <row r="4069" spans="1:1">
      <c r="A4069" s="77"/>
    </row>
    <row r="4070" spans="1:1">
      <c r="A4070" s="77"/>
    </row>
    <row r="4071" spans="1:1">
      <c r="A4071" s="77"/>
    </row>
    <row r="4072" spans="1:1">
      <c r="A4072" s="76"/>
    </row>
    <row r="4073" spans="1:1">
      <c r="A4073" s="77"/>
    </row>
    <row r="4074" spans="1:1">
      <c r="A4074" s="77"/>
    </row>
    <row r="4075" spans="1:1">
      <c r="A4075" s="77"/>
    </row>
    <row r="4076" spans="1:1">
      <c r="A4076" s="77"/>
    </row>
    <row r="4077" spans="1:1">
      <c r="A4077" s="76"/>
    </row>
    <row r="4078" spans="1:1">
      <c r="A4078" s="77"/>
    </row>
    <row r="4079" spans="1:1">
      <c r="A4079" s="77"/>
    </row>
    <row r="4080" spans="1:1">
      <c r="A4080" s="77"/>
    </row>
    <row r="4081" spans="1:1">
      <c r="A4081" s="77"/>
    </row>
    <row r="4082" spans="1:1">
      <c r="A4082" s="77"/>
    </row>
    <row r="4083" spans="1:1">
      <c r="A4083" s="76"/>
    </row>
    <row r="4084" spans="1:1">
      <c r="A4084" s="77"/>
    </row>
    <row r="4085" spans="1:1">
      <c r="A4085" s="77"/>
    </row>
    <row r="4086" spans="1:1">
      <c r="A4086" s="77"/>
    </row>
    <row r="4087" spans="1:1">
      <c r="A4087" s="77"/>
    </row>
    <row r="4088" spans="1:1">
      <c r="A4088" s="76"/>
    </row>
    <row r="4089" spans="1:1">
      <c r="A4089" s="77"/>
    </row>
    <row r="4090" spans="1:1">
      <c r="A4090" s="77"/>
    </row>
    <row r="4091" spans="1:1">
      <c r="A4091" s="77"/>
    </row>
    <row r="4092" spans="1:1">
      <c r="A4092" s="77"/>
    </row>
    <row r="4093" spans="1:1">
      <c r="A4093" s="77"/>
    </row>
    <row r="4094" spans="1:1">
      <c r="A4094" s="76"/>
    </row>
    <row r="4095" spans="1:1">
      <c r="A4095" s="77"/>
    </row>
    <row r="4096" spans="1:1">
      <c r="A4096" s="77"/>
    </row>
    <row r="4097" spans="1:1">
      <c r="A4097" s="77"/>
    </row>
    <row r="4098" spans="1:1">
      <c r="A4098" s="77"/>
    </row>
    <row r="4099" spans="1:1">
      <c r="A4099" s="76"/>
    </row>
    <row r="4100" spans="1:1">
      <c r="A4100" s="77"/>
    </row>
    <row r="4101" spans="1:1">
      <c r="A4101" s="77"/>
    </row>
    <row r="4102" spans="1:1">
      <c r="A4102" s="77"/>
    </row>
    <row r="4103" spans="1:1">
      <c r="A4103" s="77"/>
    </row>
    <row r="4104" spans="1:1">
      <c r="A4104" s="76"/>
    </row>
    <row r="4105" spans="1:1">
      <c r="A4105" s="77"/>
    </row>
    <row r="4106" spans="1:1">
      <c r="A4106" s="76"/>
    </row>
    <row r="4107" spans="1:1">
      <c r="A4107" s="77"/>
    </row>
    <row r="4108" spans="1:1">
      <c r="A4108" s="76"/>
    </row>
    <row r="4109" spans="1:1">
      <c r="A4109" s="77"/>
    </row>
    <row r="4110" spans="1:1">
      <c r="A4110" s="77"/>
    </row>
    <row r="4111" spans="1:1">
      <c r="A4111" s="77"/>
    </row>
    <row r="4112" spans="1:1">
      <c r="A4112" s="77"/>
    </row>
    <row r="4113" spans="1:1">
      <c r="A4113" s="76"/>
    </row>
    <row r="4114" spans="1:1">
      <c r="A4114" s="77"/>
    </row>
    <row r="4115" spans="1:1">
      <c r="A4115" s="77"/>
    </row>
    <row r="4116" spans="1:1">
      <c r="A4116" s="77"/>
    </row>
    <row r="4117" spans="1:1">
      <c r="A4117" s="77"/>
    </row>
    <row r="4118" spans="1:1">
      <c r="A4118" s="76"/>
    </row>
    <row r="4119" spans="1:1">
      <c r="A4119" s="77"/>
    </row>
    <row r="4120" spans="1:1">
      <c r="A4120" s="76"/>
    </row>
    <row r="4121" spans="1:1">
      <c r="A4121" s="77"/>
    </row>
    <row r="4122" spans="1:1">
      <c r="A4122" s="77"/>
    </row>
    <row r="4123" spans="1:1">
      <c r="A4123" s="77"/>
    </row>
    <row r="4124" spans="1:1">
      <c r="A4124" s="77"/>
    </row>
    <row r="4125" spans="1:1">
      <c r="A4125" s="76"/>
    </row>
    <row r="4126" spans="1:1">
      <c r="A4126" s="77"/>
    </row>
    <row r="4127" spans="1:1">
      <c r="A4127" s="77"/>
    </row>
    <row r="4128" spans="1:1">
      <c r="A4128" s="76"/>
    </row>
    <row r="4129" spans="1:1">
      <c r="A4129" s="77"/>
    </row>
    <row r="4130" spans="1:1">
      <c r="A4130" s="76"/>
    </row>
    <row r="4131" spans="1:1">
      <c r="A4131" s="77"/>
    </row>
    <row r="4132" spans="1:1">
      <c r="A4132" s="76"/>
    </row>
    <row r="4133" spans="1:1">
      <c r="A4133" s="77"/>
    </row>
    <row r="4134" spans="1:1">
      <c r="A4134" s="76"/>
    </row>
    <row r="4135" spans="1:1">
      <c r="A4135" s="77"/>
    </row>
    <row r="4136" spans="1:1">
      <c r="A4136" s="76"/>
    </row>
    <row r="4137" spans="1:1">
      <c r="A4137" s="77"/>
    </row>
    <row r="4138" spans="1:1">
      <c r="A4138" s="76"/>
    </row>
    <row r="4139" spans="1:1">
      <c r="A4139" s="77"/>
    </row>
    <row r="4140" spans="1:1">
      <c r="A4140" s="77"/>
    </row>
    <row r="4141" spans="1:1">
      <c r="A4141" s="77"/>
    </row>
    <row r="4142" spans="1:1">
      <c r="A4142" s="77"/>
    </row>
    <row r="4143" spans="1:1">
      <c r="A4143" s="77"/>
    </row>
    <row r="4144" spans="1:1">
      <c r="A4144" s="77"/>
    </row>
    <row r="4145" spans="1:1">
      <c r="A4145" s="77"/>
    </row>
    <row r="4146" spans="1:1">
      <c r="A4146" s="77"/>
    </row>
    <row r="4147" spans="1:1">
      <c r="A4147" s="76"/>
    </row>
    <row r="4148" spans="1:1">
      <c r="A4148" s="77"/>
    </row>
    <row r="4149" spans="1:1">
      <c r="A4149" s="77"/>
    </row>
    <row r="4150" spans="1:1">
      <c r="A4150" s="77"/>
    </row>
    <row r="4151" spans="1:1">
      <c r="A4151" s="76"/>
    </row>
    <row r="4152" spans="1:1">
      <c r="A4152" s="77"/>
    </row>
    <row r="4153" spans="1:1">
      <c r="A4153" s="77"/>
    </row>
    <row r="4154" spans="1:1">
      <c r="A4154" s="76"/>
    </row>
    <row r="4155" spans="1:1">
      <c r="A4155" s="77"/>
    </row>
    <row r="4156" spans="1:1">
      <c r="A4156" s="77"/>
    </row>
    <row r="4157" spans="1:1">
      <c r="A4157" s="76"/>
    </row>
    <row r="4158" spans="1:1">
      <c r="A4158" s="77"/>
    </row>
    <row r="4159" spans="1:1">
      <c r="A4159" s="77"/>
    </row>
    <row r="4160" spans="1:1">
      <c r="A4160" s="76"/>
    </row>
    <row r="4161" spans="1:1">
      <c r="A4161" s="77"/>
    </row>
    <row r="4162" spans="1:1">
      <c r="A4162" s="77"/>
    </row>
    <row r="4163" spans="1:1">
      <c r="A4163" s="77"/>
    </row>
    <row r="4164" spans="1:1">
      <c r="A4164" s="76"/>
    </row>
    <row r="4165" spans="1:1">
      <c r="A4165" s="77"/>
    </row>
    <row r="4166" spans="1:1">
      <c r="A4166" s="77"/>
    </row>
    <row r="4167" spans="1:1">
      <c r="A4167" s="77"/>
    </row>
    <row r="4168" spans="1:1">
      <c r="A4168" s="76"/>
    </row>
    <row r="4169" spans="1:1">
      <c r="A4169" s="77"/>
    </row>
    <row r="4170" spans="1:1">
      <c r="A4170" s="77"/>
    </row>
    <row r="4171" spans="1:1">
      <c r="A4171" s="76"/>
    </row>
    <row r="4172" spans="1:1">
      <c r="A4172" s="77"/>
    </row>
    <row r="4173" spans="1:1">
      <c r="A4173" s="76"/>
    </row>
    <row r="4174" spans="1:1">
      <c r="A4174" s="77"/>
    </row>
    <row r="4175" spans="1:1">
      <c r="A4175" s="76"/>
    </row>
    <row r="4176" spans="1:1">
      <c r="A4176" s="77"/>
    </row>
    <row r="4177" spans="1:1">
      <c r="A4177" s="76"/>
    </row>
    <row r="4178" spans="1:1">
      <c r="A4178" s="77"/>
    </row>
    <row r="4179" spans="1:1">
      <c r="A4179" s="77"/>
    </row>
    <row r="4180" spans="1:1">
      <c r="A4180" s="76"/>
    </row>
    <row r="4181" spans="1:1">
      <c r="A4181" s="77"/>
    </row>
    <row r="4182" spans="1:1">
      <c r="A4182" s="76"/>
    </row>
    <row r="4183" spans="1:1">
      <c r="A4183" s="77"/>
    </row>
    <row r="4184" spans="1:1">
      <c r="A4184" s="77"/>
    </row>
    <row r="4185" spans="1:1">
      <c r="A4185" s="76"/>
    </row>
    <row r="4186" spans="1:1">
      <c r="A4186" s="77"/>
    </row>
    <row r="4187" spans="1:1">
      <c r="A4187" s="76"/>
    </row>
    <row r="4188" spans="1:1">
      <c r="A4188" s="77"/>
    </row>
    <row r="4189" spans="1:1">
      <c r="A4189" s="77"/>
    </row>
    <row r="4190" spans="1:1">
      <c r="A4190" s="76"/>
    </row>
    <row r="4191" spans="1:1">
      <c r="A4191" s="77"/>
    </row>
    <row r="4192" spans="1:1">
      <c r="A4192" s="76"/>
    </row>
    <row r="4193" spans="1:1">
      <c r="A4193" s="77"/>
    </row>
    <row r="4194" spans="1:1">
      <c r="A4194" s="76"/>
    </row>
    <row r="4195" spans="1:1">
      <c r="A4195" s="77"/>
    </row>
    <row r="4196" spans="1:1">
      <c r="A4196" s="76"/>
    </row>
    <row r="4197" spans="1:1">
      <c r="A4197" s="77"/>
    </row>
    <row r="4198" spans="1:1">
      <c r="A4198" s="77"/>
    </row>
    <row r="4199" spans="1:1">
      <c r="A4199" s="77"/>
    </row>
    <row r="4200" spans="1:1">
      <c r="A4200" s="77"/>
    </row>
    <row r="4201" spans="1:1">
      <c r="A4201" s="77"/>
    </row>
    <row r="4202" spans="1:1">
      <c r="A4202" s="77"/>
    </row>
    <row r="4203" spans="1:1">
      <c r="A4203" s="77"/>
    </row>
    <row r="4204" spans="1:1">
      <c r="A4204" s="77"/>
    </row>
    <row r="4205" spans="1:1">
      <c r="A4205" s="77"/>
    </row>
    <row r="4206" spans="1:1">
      <c r="A4206" s="77"/>
    </row>
    <row r="4207" spans="1:1">
      <c r="A4207" s="77"/>
    </row>
    <row r="4208" spans="1:1">
      <c r="A4208" s="77"/>
    </row>
    <row r="4209" spans="1:1">
      <c r="A4209" s="77"/>
    </row>
    <row r="4210" spans="1:1">
      <c r="A4210" s="77"/>
    </row>
    <row r="4211" spans="1:1">
      <c r="A4211" s="77"/>
    </row>
    <row r="4212" spans="1:1">
      <c r="A4212" s="76"/>
    </row>
    <row r="4213" spans="1:1">
      <c r="A4213" s="77"/>
    </row>
    <row r="4214" spans="1:1">
      <c r="A4214" s="76"/>
    </row>
    <row r="4215" spans="1:1">
      <c r="A4215" s="77"/>
    </row>
    <row r="4216" spans="1:1">
      <c r="A4216" s="77"/>
    </row>
    <row r="4217" spans="1:1">
      <c r="A4217" s="76"/>
    </row>
    <row r="4218" spans="1:1">
      <c r="A4218" s="77"/>
    </row>
    <row r="4219" spans="1:1">
      <c r="A4219" s="76"/>
    </row>
    <row r="4220" spans="1:1">
      <c r="A4220" s="77"/>
    </row>
    <row r="4221" spans="1:1">
      <c r="A4221" s="77"/>
    </row>
    <row r="4222" spans="1:1">
      <c r="A4222" s="77"/>
    </row>
    <row r="4223" spans="1:1">
      <c r="A4223" s="76"/>
    </row>
    <row r="4224" spans="1:1">
      <c r="A4224" s="77"/>
    </row>
    <row r="4225" spans="1:1">
      <c r="A4225" s="76"/>
    </row>
    <row r="4226" spans="1:1">
      <c r="A4226" s="77"/>
    </row>
    <row r="4227" spans="1:1">
      <c r="A4227" s="76"/>
    </row>
    <row r="4228" spans="1:1">
      <c r="A4228" s="77"/>
    </row>
    <row r="4229" spans="1:1">
      <c r="A4229" s="77"/>
    </row>
    <row r="4230" spans="1:1">
      <c r="A4230" s="77"/>
    </row>
    <row r="4231" spans="1:1">
      <c r="A4231" s="77"/>
    </row>
    <row r="4232" spans="1:1">
      <c r="A4232" s="76"/>
    </row>
    <row r="4233" spans="1:1">
      <c r="A4233" s="77"/>
    </row>
    <row r="4234" spans="1:1">
      <c r="A4234" s="76"/>
    </row>
    <row r="4235" spans="1:1">
      <c r="A4235" s="77"/>
    </row>
    <row r="4236" spans="1:1">
      <c r="A4236" s="77"/>
    </row>
    <row r="4237" spans="1:1">
      <c r="A4237" s="77"/>
    </row>
    <row r="4238" spans="1:1">
      <c r="A4238" s="77"/>
    </row>
    <row r="4239" spans="1:1">
      <c r="A4239" s="77"/>
    </row>
    <row r="4240" spans="1:1">
      <c r="A4240" s="77"/>
    </row>
    <row r="4241" spans="1:1">
      <c r="A4241" s="77"/>
    </row>
    <row r="4242" spans="1:1">
      <c r="A4242" s="77"/>
    </row>
    <row r="4243" spans="1:1">
      <c r="A4243" s="77"/>
    </row>
    <row r="4244" spans="1:1">
      <c r="A4244" s="77"/>
    </row>
    <row r="4245" spans="1:1">
      <c r="A4245" s="77"/>
    </row>
    <row r="4246" spans="1:1">
      <c r="A4246" s="77"/>
    </row>
    <row r="4247" spans="1:1">
      <c r="A4247" s="77"/>
    </row>
    <row r="4248" spans="1:1">
      <c r="A4248" s="77"/>
    </row>
    <row r="4249" spans="1:1">
      <c r="A4249" s="77"/>
    </row>
    <row r="4250" spans="1:1">
      <c r="A4250" s="77"/>
    </row>
    <row r="4251" spans="1:1">
      <c r="A4251" s="77"/>
    </row>
    <row r="4252" spans="1:1">
      <c r="A4252" s="77"/>
    </row>
    <row r="4253" spans="1:1">
      <c r="A4253" s="77"/>
    </row>
    <row r="4254" spans="1:1">
      <c r="A4254" s="77"/>
    </row>
    <row r="4255" spans="1:1">
      <c r="A4255" s="76"/>
    </row>
    <row r="4256" spans="1:1">
      <c r="A4256" s="77"/>
    </row>
    <row r="4257" spans="1:1">
      <c r="A4257" s="77"/>
    </row>
    <row r="4258" spans="1:1">
      <c r="A4258" s="77"/>
    </row>
    <row r="4259" spans="1:1">
      <c r="A4259" s="77"/>
    </row>
    <row r="4260" spans="1:1">
      <c r="A4260" s="77"/>
    </row>
    <row r="4261" spans="1:1">
      <c r="A4261" s="77"/>
    </row>
    <row r="4262" spans="1:1">
      <c r="A4262" s="77"/>
    </row>
    <row r="4263" spans="1:1">
      <c r="A4263" s="77"/>
    </row>
    <row r="4264" spans="1:1">
      <c r="A4264" s="77"/>
    </row>
    <row r="4265" spans="1:1">
      <c r="A4265" s="77"/>
    </row>
    <row r="4266" spans="1:1">
      <c r="A4266" s="77"/>
    </row>
    <row r="4267" spans="1:1">
      <c r="A4267" s="77"/>
    </row>
    <row r="4268" spans="1:1">
      <c r="A4268" s="77"/>
    </row>
    <row r="4269" spans="1:1">
      <c r="A4269" s="77"/>
    </row>
    <row r="4270" spans="1:1">
      <c r="A4270" s="77"/>
    </row>
    <row r="4271" spans="1:1">
      <c r="A4271" s="77"/>
    </row>
    <row r="4272" spans="1:1">
      <c r="A4272" s="77"/>
    </row>
    <row r="4273" spans="1:1">
      <c r="A4273" s="77"/>
    </row>
    <row r="4274" spans="1:1">
      <c r="A4274" s="77"/>
    </row>
    <row r="4275" spans="1:1">
      <c r="A4275" s="77"/>
    </row>
    <row r="4276" spans="1:1">
      <c r="A4276" s="76"/>
    </row>
    <row r="4277" spans="1:1">
      <c r="A4277" s="77"/>
    </row>
    <row r="4278" spans="1:1">
      <c r="A4278" s="76"/>
    </row>
    <row r="4279" spans="1:1">
      <c r="A4279" s="77"/>
    </row>
    <row r="4280" spans="1:1">
      <c r="A4280" s="77"/>
    </row>
    <row r="4281" spans="1:1">
      <c r="A4281" s="77"/>
    </row>
    <row r="4282" spans="1:1">
      <c r="A4282" s="77"/>
    </row>
    <row r="4283" spans="1:1">
      <c r="A4283" s="77"/>
    </row>
    <row r="4284" spans="1:1">
      <c r="A4284" s="77"/>
    </row>
    <row r="4285" spans="1:1">
      <c r="A4285" s="77"/>
    </row>
    <row r="4286" spans="1:1">
      <c r="A4286" s="77"/>
    </row>
    <row r="4287" spans="1:1">
      <c r="A4287" s="77"/>
    </row>
    <row r="4288" spans="1:1">
      <c r="A4288" s="77"/>
    </row>
    <row r="4289" spans="1:1">
      <c r="A4289" s="77"/>
    </row>
    <row r="4290" spans="1:1">
      <c r="A4290" s="77"/>
    </row>
    <row r="4291" spans="1:1">
      <c r="A4291" s="77"/>
    </row>
    <row r="4292" spans="1:1">
      <c r="A4292" s="77"/>
    </row>
    <row r="4293" spans="1:1">
      <c r="A4293" s="77"/>
    </row>
    <row r="4294" spans="1:1">
      <c r="A4294" s="77"/>
    </row>
    <row r="4295" spans="1:1">
      <c r="A4295" s="77"/>
    </row>
    <row r="4296" spans="1:1">
      <c r="A4296" s="77"/>
    </row>
    <row r="4297" spans="1:1">
      <c r="A4297" s="77"/>
    </row>
    <row r="4298" spans="1:1">
      <c r="A4298" s="77"/>
    </row>
    <row r="4299" spans="1:1">
      <c r="A4299" s="76"/>
    </row>
    <row r="4300" spans="1:1">
      <c r="A4300" s="77"/>
    </row>
    <row r="4301" spans="1:1">
      <c r="A4301" s="77"/>
    </row>
    <row r="4302" spans="1:1">
      <c r="A4302" s="77"/>
    </row>
    <row r="4303" spans="1:1">
      <c r="A4303" s="77"/>
    </row>
    <row r="4304" spans="1:1">
      <c r="A4304" s="77"/>
    </row>
    <row r="4305" spans="1:1">
      <c r="A4305" s="77"/>
    </row>
    <row r="4306" spans="1:1">
      <c r="A4306" s="77"/>
    </row>
    <row r="4307" spans="1:1">
      <c r="A4307" s="77"/>
    </row>
    <row r="4308" spans="1:1">
      <c r="A4308" s="77"/>
    </row>
    <row r="4309" spans="1:1">
      <c r="A4309" s="77"/>
    </row>
    <row r="4310" spans="1:1">
      <c r="A4310" s="77"/>
    </row>
    <row r="4311" spans="1:1">
      <c r="A4311" s="77"/>
    </row>
    <row r="4312" spans="1:1">
      <c r="A4312" s="76"/>
    </row>
    <row r="4313" spans="1:1">
      <c r="A4313" s="77"/>
    </row>
    <row r="4314" spans="1:1">
      <c r="A4314" s="76"/>
    </row>
    <row r="4315" spans="1:1">
      <c r="A4315" s="77"/>
    </row>
    <row r="4316" spans="1:1">
      <c r="A4316" s="77"/>
    </row>
    <row r="4317" spans="1:1">
      <c r="A4317" s="76"/>
    </row>
    <row r="4318" spans="1:1">
      <c r="A4318" s="77"/>
    </row>
    <row r="4319" spans="1:1">
      <c r="A4319" s="76"/>
    </row>
    <row r="4320" spans="1:1">
      <c r="A4320" s="77"/>
    </row>
    <row r="4321" spans="1:1">
      <c r="A4321" s="77"/>
    </row>
    <row r="4322" spans="1:1">
      <c r="A4322" s="77"/>
    </row>
    <row r="4323" spans="1:1">
      <c r="A4323" s="77"/>
    </row>
    <row r="4324" spans="1:1">
      <c r="A4324" s="76"/>
    </row>
    <row r="4325" spans="1:1">
      <c r="A4325" s="77"/>
    </row>
    <row r="4326" spans="1:1">
      <c r="A4326" s="77"/>
    </row>
    <row r="4327" spans="1:1">
      <c r="A4327" s="77"/>
    </row>
    <row r="4328" spans="1:1">
      <c r="A4328" s="77"/>
    </row>
    <row r="4329" spans="1:1">
      <c r="A4329" s="76"/>
    </row>
    <row r="4330" spans="1:1">
      <c r="A4330" s="77"/>
    </row>
    <row r="4331" spans="1:1">
      <c r="A4331" s="76"/>
    </row>
    <row r="4332" spans="1:1">
      <c r="A4332" s="77"/>
    </row>
    <row r="4333" spans="1:1">
      <c r="A4333" s="76"/>
    </row>
    <row r="4334" spans="1:1">
      <c r="A4334" s="77"/>
    </row>
    <row r="4335" spans="1:1">
      <c r="A4335" s="77"/>
    </row>
    <row r="4336" spans="1:1">
      <c r="A4336" s="76"/>
    </row>
    <row r="4337" spans="1:1">
      <c r="A4337" s="77"/>
    </row>
    <row r="4338" spans="1:1">
      <c r="A4338" s="76"/>
    </row>
    <row r="4339" spans="1:1">
      <c r="A4339" s="77"/>
    </row>
    <row r="4340" spans="1:1">
      <c r="A4340" s="76"/>
    </row>
    <row r="4341" spans="1:1">
      <c r="A4341" s="77"/>
    </row>
    <row r="4342" spans="1:1">
      <c r="A4342" s="76"/>
    </row>
    <row r="4343" spans="1:1">
      <c r="A4343" s="77"/>
    </row>
    <row r="4344" spans="1:1">
      <c r="A4344" s="76"/>
    </row>
    <row r="4345" spans="1:1">
      <c r="A4345" s="77"/>
    </row>
    <row r="4346" spans="1:1">
      <c r="A4346" s="76"/>
    </row>
    <row r="4347" spans="1:1">
      <c r="A4347" s="77"/>
    </row>
    <row r="4348" spans="1:1">
      <c r="A4348" s="76"/>
    </row>
    <row r="4349" spans="1:1">
      <c r="A4349" s="77"/>
    </row>
    <row r="4350" spans="1:1">
      <c r="A4350" s="76"/>
    </row>
    <row r="4351" spans="1:1">
      <c r="A4351" s="77"/>
    </row>
    <row r="4352" spans="1:1">
      <c r="A4352" s="76"/>
    </row>
    <row r="4353" spans="1:1">
      <c r="A4353" s="77"/>
    </row>
    <row r="4354" spans="1:1">
      <c r="A4354" s="76"/>
    </row>
    <row r="4355" spans="1:1">
      <c r="A4355" s="77"/>
    </row>
    <row r="4356" spans="1:1">
      <c r="A4356" s="77"/>
    </row>
    <row r="4357" spans="1:1">
      <c r="A4357" s="76"/>
    </row>
    <row r="4358" spans="1:1">
      <c r="A4358" s="77"/>
    </row>
    <row r="4359" spans="1:1">
      <c r="A4359" s="76"/>
    </row>
    <row r="4360" spans="1:1">
      <c r="A4360" s="77"/>
    </row>
    <row r="4361" spans="1:1">
      <c r="A4361" s="77"/>
    </row>
    <row r="4362" spans="1:1">
      <c r="A4362" s="77"/>
    </row>
    <row r="4363" spans="1:1">
      <c r="A4363" s="77"/>
    </row>
    <row r="4364" spans="1:1">
      <c r="A4364" s="77"/>
    </row>
    <row r="4365" spans="1:1">
      <c r="A4365" s="76"/>
    </row>
    <row r="4366" spans="1:1">
      <c r="A4366" s="77"/>
    </row>
    <row r="4367" spans="1:1">
      <c r="A4367" s="76"/>
    </row>
    <row r="4368" spans="1:1">
      <c r="A4368" s="77"/>
    </row>
    <row r="4369" spans="1:1">
      <c r="A4369" s="76"/>
    </row>
    <row r="4370" spans="1:1">
      <c r="A4370" s="77"/>
    </row>
    <row r="4371" spans="1:1">
      <c r="A4371" s="76"/>
    </row>
    <row r="4372" spans="1:1">
      <c r="A4372" s="77"/>
    </row>
    <row r="4373" spans="1:1">
      <c r="A4373" s="77"/>
    </row>
    <row r="4374" spans="1:1">
      <c r="A4374" s="76"/>
    </row>
    <row r="4375" spans="1:1">
      <c r="A4375" s="77"/>
    </row>
    <row r="4376" spans="1:1">
      <c r="A4376" s="77"/>
    </row>
    <row r="4377" spans="1:1">
      <c r="A4377" s="76"/>
    </row>
    <row r="4378" spans="1:1">
      <c r="A4378" s="77"/>
    </row>
    <row r="4379" spans="1:1">
      <c r="A4379" s="76"/>
    </row>
    <row r="4380" spans="1:1">
      <c r="A4380" s="77"/>
    </row>
    <row r="4381" spans="1:1">
      <c r="A4381" s="76"/>
    </row>
    <row r="4382" spans="1:1">
      <c r="A4382" s="77"/>
    </row>
    <row r="4383" spans="1:1">
      <c r="A4383" s="76"/>
    </row>
    <row r="4384" spans="1:1">
      <c r="A4384" s="77"/>
    </row>
    <row r="4385" spans="1:1">
      <c r="A4385" s="76"/>
    </row>
    <row r="4386" spans="1:1">
      <c r="A4386" s="77"/>
    </row>
    <row r="4387" spans="1:1">
      <c r="A4387" s="76"/>
    </row>
    <row r="4388" spans="1:1">
      <c r="A4388" s="77"/>
    </row>
    <row r="4389" spans="1:1">
      <c r="A4389" s="76"/>
    </row>
    <row r="4390" spans="1:1">
      <c r="A4390" s="77"/>
    </row>
    <row r="4391" spans="1:1">
      <c r="A4391" s="77"/>
    </row>
    <row r="4392" spans="1:1">
      <c r="A4392" s="77"/>
    </row>
    <row r="4393" spans="1:1">
      <c r="A4393" s="76"/>
    </row>
    <row r="4394" spans="1:1">
      <c r="A4394" s="77"/>
    </row>
    <row r="4395" spans="1:1">
      <c r="A4395" s="76"/>
    </row>
    <row r="4396" spans="1:1">
      <c r="A4396" s="77"/>
    </row>
    <row r="4397" spans="1:1">
      <c r="A4397" s="76"/>
    </row>
    <row r="4398" spans="1:1">
      <c r="A4398" s="77"/>
    </row>
    <row r="4399" spans="1:1">
      <c r="A4399" s="76"/>
    </row>
    <row r="4400" spans="1:1">
      <c r="A4400" s="77"/>
    </row>
    <row r="4401" spans="1:1">
      <c r="A4401" s="77"/>
    </row>
    <row r="4402" spans="1:1">
      <c r="A4402" s="77"/>
    </row>
    <row r="4403" spans="1:1">
      <c r="A4403" s="77"/>
    </row>
    <row r="4404" spans="1:1">
      <c r="A4404" s="77"/>
    </row>
    <row r="4405" spans="1:1">
      <c r="A4405" s="77"/>
    </row>
    <row r="4406" spans="1:1">
      <c r="A4406" s="77"/>
    </row>
    <row r="4407" spans="1:1">
      <c r="A4407" s="77"/>
    </row>
    <row r="4408" spans="1:1">
      <c r="A4408" s="77"/>
    </row>
    <row r="4409" spans="1:1">
      <c r="A4409" s="77"/>
    </row>
    <row r="4410" spans="1:1">
      <c r="A4410" s="77"/>
    </row>
    <row r="4411" spans="1:1">
      <c r="A4411" s="77"/>
    </row>
    <row r="4412" spans="1:1">
      <c r="A4412" s="77"/>
    </row>
    <row r="4413" spans="1:1">
      <c r="A4413" s="77"/>
    </row>
    <row r="4414" spans="1:1">
      <c r="A4414" s="77"/>
    </row>
    <row r="4415" spans="1:1">
      <c r="A4415" s="77"/>
    </row>
    <row r="4416" spans="1:1">
      <c r="A4416" s="77"/>
    </row>
    <row r="4417" spans="1:1">
      <c r="A4417" s="77"/>
    </row>
    <row r="4418" spans="1:1">
      <c r="A4418" s="77"/>
    </row>
    <row r="4419" spans="1:1">
      <c r="A4419" s="77"/>
    </row>
    <row r="4420" spans="1:1">
      <c r="A4420" s="77"/>
    </row>
    <row r="4421" spans="1:1">
      <c r="A4421" s="77"/>
    </row>
    <row r="4422" spans="1:1">
      <c r="A4422" s="77"/>
    </row>
    <row r="4423" spans="1:1">
      <c r="A4423" s="77"/>
    </row>
    <row r="4424" spans="1:1">
      <c r="A4424" s="77"/>
    </row>
    <row r="4425" spans="1:1">
      <c r="A4425" s="77"/>
    </row>
    <row r="4426" spans="1:1">
      <c r="A4426" s="77"/>
    </row>
    <row r="4427" spans="1:1">
      <c r="A4427" s="77"/>
    </row>
    <row r="4428" spans="1:1">
      <c r="A4428" s="77"/>
    </row>
    <row r="4429" spans="1:1">
      <c r="A4429" s="77"/>
    </row>
    <row r="4430" spans="1:1">
      <c r="A4430" s="77"/>
    </row>
    <row r="4431" spans="1:1">
      <c r="A4431" s="77"/>
    </row>
    <row r="4432" spans="1:1">
      <c r="A4432" s="76"/>
    </row>
    <row r="4433" spans="1:1">
      <c r="A4433" s="76"/>
    </row>
    <row r="4434" spans="1:1">
      <c r="A4434" s="77"/>
    </row>
    <row r="4435" spans="1:1">
      <c r="A4435" s="77"/>
    </row>
    <row r="4436" spans="1:1">
      <c r="A4436" s="77"/>
    </row>
    <row r="4437" spans="1:1">
      <c r="A4437" s="76"/>
    </row>
    <row r="4438" spans="1:1">
      <c r="A4438" s="77"/>
    </row>
    <row r="4439" spans="1:1">
      <c r="A4439" s="77"/>
    </row>
    <row r="4440" spans="1:1">
      <c r="A4440" s="77"/>
    </row>
    <row r="4441" spans="1:1">
      <c r="A4441" s="77"/>
    </row>
    <row r="4442" spans="1:1">
      <c r="A4442" s="77"/>
    </row>
    <row r="4443" spans="1:1">
      <c r="A4443" s="76"/>
    </row>
    <row r="4444" spans="1:1">
      <c r="A4444" s="77"/>
    </row>
    <row r="4445" spans="1:1">
      <c r="A4445" s="77"/>
    </row>
    <row r="4446" spans="1:1">
      <c r="A4446" s="77"/>
    </row>
    <row r="4447" spans="1:1">
      <c r="A4447" s="77"/>
    </row>
    <row r="4448" spans="1:1">
      <c r="A4448" s="77"/>
    </row>
    <row r="4449" spans="1:1">
      <c r="A4449" s="77"/>
    </row>
    <row r="4450" spans="1:1">
      <c r="A4450" s="77"/>
    </row>
    <row r="4451" spans="1:1">
      <c r="A4451" s="77"/>
    </row>
    <row r="4452" spans="1:1">
      <c r="A4452" s="77"/>
    </row>
    <row r="4453" spans="1:1">
      <c r="A4453" s="77"/>
    </row>
    <row r="4454" spans="1:1">
      <c r="A4454" s="77"/>
    </row>
    <row r="4455" spans="1:1">
      <c r="A4455" s="77"/>
    </row>
    <row r="4456" spans="1:1">
      <c r="A4456" s="77"/>
    </row>
    <row r="4457" spans="1:1">
      <c r="A4457" s="77"/>
    </row>
    <row r="4458" spans="1:1">
      <c r="A4458" s="77"/>
    </row>
    <row r="4459" spans="1:1">
      <c r="A4459" s="77"/>
    </row>
    <row r="4460" spans="1:1">
      <c r="A4460" s="77"/>
    </row>
    <row r="4461" spans="1:1">
      <c r="A4461" s="77"/>
    </row>
    <row r="4462" spans="1:1">
      <c r="A4462" s="77"/>
    </row>
    <row r="4463" spans="1:1">
      <c r="A4463" s="77"/>
    </row>
    <row r="4464" spans="1:1">
      <c r="A4464" s="77"/>
    </row>
    <row r="4465" spans="1:1">
      <c r="A4465" s="77"/>
    </row>
    <row r="4466" spans="1:1">
      <c r="A4466" s="77"/>
    </row>
    <row r="4467" spans="1:1">
      <c r="A4467" s="77"/>
    </row>
    <row r="4468" spans="1:1">
      <c r="A4468" s="77"/>
    </row>
    <row r="4469" spans="1:1">
      <c r="A4469" s="77"/>
    </row>
    <row r="4470" spans="1:1">
      <c r="A4470" s="77"/>
    </row>
    <row r="4471" spans="1:1">
      <c r="A4471" s="77"/>
    </row>
    <row r="4472" spans="1:1">
      <c r="A4472" s="77"/>
    </row>
    <row r="4473" spans="1:1">
      <c r="A4473" s="77"/>
    </row>
    <row r="4474" spans="1:1">
      <c r="A4474" s="77"/>
    </row>
    <row r="4475" spans="1:1">
      <c r="A4475" s="77"/>
    </row>
    <row r="4476" spans="1:1">
      <c r="A4476" s="77"/>
    </row>
    <row r="4477" spans="1:1">
      <c r="A4477" s="77"/>
    </row>
    <row r="4478" spans="1:1">
      <c r="A4478" s="77"/>
    </row>
    <row r="4479" spans="1:1">
      <c r="A4479" s="76"/>
    </row>
    <row r="4480" spans="1:1">
      <c r="A4480" s="77"/>
    </row>
    <row r="4481" spans="1:1">
      <c r="A4481" s="76"/>
    </row>
    <row r="4482" spans="1:1">
      <c r="A4482" s="77"/>
    </row>
    <row r="4483" spans="1:1">
      <c r="A4483" s="77"/>
    </row>
    <row r="4484" spans="1:1">
      <c r="A4484" s="77"/>
    </row>
    <row r="4485" spans="1:1">
      <c r="A4485" s="77"/>
    </row>
    <row r="4486" spans="1:1">
      <c r="A4486" s="77"/>
    </row>
    <row r="4487" spans="1:1">
      <c r="A4487" s="77"/>
    </row>
    <row r="4488" spans="1:1">
      <c r="A4488" s="76"/>
    </row>
    <row r="4489" spans="1:1">
      <c r="A4489" s="77"/>
    </row>
    <row r="4490" spans="1:1">
      <c r="A4490" s="77"/>
    </row>
    <row r="4491" spans="1:1">
      <c r="A4491" s="77"/>
    </row>
    <row r="4492" spans="1:1">
      <c r="A4492" s="77"/>
    </row>
    <row r="4493" spans="1:1">
      <c r="A4493" s="77"/>
    </row>
    <row r="4494" spans="1:1">
      <c r="A4494" s="77"/>
    </row>
    <row r="4495" spans="1:1">
      <c r="A4495" s="76"/>
    </row>
    <row r="4496" spans="1:1">
      <c r="A4496" s="77"/>
    </row>
    <row r="4497" spans="1:1">
      <c r="A4497" s="77"/>
    </row>
    <row r="4498" spans="1:1">
      <c r="A4498" s="77"/>
    </row>
    <row r="4499" spans="1:1">
      <c r="A4499" s="77"/>
    </row>
    <row r="4500" spans="1:1">
      <c r="A4500" s="77"/>
    </row>
    <row r="4501" spans="1:1">
      <c r="A4501" s="77"/>
    </row>
    <row r="4502" spans="1:1">
      <c r="A4502" s="76"/>
    </row>
    <row r="4503" spans="1:1">
      <c r="A4503" s="77"/>
    </row>
    <row r="4504" spans="1:1">
      <c r="A4504" s="77"/>
    </row>
    <row r="4505" spans="1:1">
      <c r="A4505" s="77"/>
    </row>
    <row r="4506" spans="1:1">
      <c r="A4506" s="77"/>
    </row>
    <row r="4507" spans="1:1">
      <c r="A4507" s="77"/>
    </row>
    <row r="4508" spans="1:1">
      <c r="A4508" s="77"/>
    </row>
    <row r="4509" spans="1:1">
      <c r="A4509" s="76"/>
    </row>
    <row r="4510" spans="1:1">
      <c r="A4510" s="77"/>
    </row>
    <row r="4511" spans="1:1">
      <c r="A4511" s="77"/>
    </row>
    <row r="4512" spans="1:1">
      <c r="A4512" s="76"/>
    </row>
    <row r="4513" spans="1:1">
      <c r="A4513" s="77"/>
    </row>
    <row r="4514" spans="1:1">
      <c r="A4514" s="76"/>
    </row>
    <row r="4515" spans="1:1">
      <c r="A4515" s="77"/>
    </row>
    <row r="4516" spans="1:1">
      <c r="A4516" s="76"/>
    </row>
    <row r="4517" spans="1:1">
      <c r="A4517" s="77"/>
    </row>
    <row r="4518" spans="1:1">
      <c r="A4518" s="77"/>
    </row>
    <row r="4519" spans="1:1">
      <c r="A4519" s="76"/>
    </row>
    <row r="4520" spans="1:1">
      <c r="A4520" s="77"/>
    </row>
    <row r="4521" spans="1:1">
      <c r="A4521" s="77"/>
    </row>
    <row r="4522" spans="1:1">
      <c r="A4522" s="76"/>
    </row>
    <row r="4523" spans="1:1">
      <c r="A4523" s="77"/>
    </row>
    <row r="4524" spans="1:1">
      <c r="A4524" s="76"/>
    </row>
    <row r="4525" spans="1:1">
      <c r="A4525" s="77"/>
    </row>
    <row r="4526" spans="1:1">
      <c r="A4526" s="76"/>
    </row>
    <row r="4527" spans="1:1">
      <c r="A4527" s="77"/>
    </row>
    <row r="4528" spans="1:1">
      <c r="A4528" s="77"/>
    </row>
    <row r="4529" spans="1:1">
      <c r="A4529" s="77"/>
    </row>
    <row r="4530" spans="1:1">
      <c r="A4530" s="77"/>
    </row>
    <row r="4531" spans="1:1">
      <c r="A4531" s="77"/>
    </row>
    <row r="4532" spans="1:1">
      <c r="A4532" s="76"/>
    </row>
    <row r="4533" spans="1:1">
      <c r="A4533" s="77"/>
    </row>
    <row r="4534" spans="1:1">
      <c r="A4534" s="77"/>
    </row>
    <row r="4535" spans="1:1">
      <c r="A4535" s="77"/>
    </row>
    <row r="4536" spans="1:1">
      <c r="A4536" s="77"/>
    </row>
    <row r="4537" spans="1:1">
      <c r="A4537" s="77"/>
    </row>
    <row r="4538" spans="1:1">
      <c r="A4538" s="77"/>
    </row>
    <row r="4539" spans="1:1">
      <c r="A4539" s="77"/>
    </row>
    <row r="4540" spans="1:1">
      <c r="A4540" s="76"/>
    </row>
    <row r="4541" spans="1:1">
      <c r="A4541" s="77"/>
    </row>
    <row r="4542" spans="1:1">
      <c r="A4542" s="77"/>
    </row>
    <row r="4543" spans="1:1">
      <c r="A4543" s="76"/>
    </row>
    <row r="4544" spans="1:1">
      <c r="A4544" s="77"/>
    </row>
    <row r="4545" spans="1:1">
      <c r="A4545" s="76"/>
    </row>
    <row r="4546" spans="1:1">
      <c r="A4546" s="77"/>
    </row>
    <row r="4547" spans="1:1">
      <c r="A4547" s="76"/>
    </row>
    <row r="4548" spans="1:1">
      <c r="A4548" s="77"/>
    </row>
    <row r="4549" spans="1:1">
      <c r="A4549" s="77"/>
    </row>
    <row r="4550" spans="1:1">
      <c r="A4550" s="77"/>
    </row>
    <row r="4551" spans="1:1">
      <c r="A4551" s="77"/>
    </row>
    <row r="4552" spans="1:1">
      <c r="A4552" s="77"/>
    </row>
    <row r="4553" spans="1:1">
      <c r="A4553" s="76"/>
    </row>
    <row r="4554" spans="1:1">
      <c r="A4554" s="77"/>
    </row>
    <row r="4555" spans="1:1">
      <c r="A4555" s="77"/>
    </row>
    <row r="4556" spans="1:1">
      <c r="A4556" s="76"/>
    </row>
    <row r="4557" spans="1:1">
      <c r="A4557" s="77"/>
    </row>
    <row r="4558" spans="1:1">
      <c r="A4558" s="76"/>
    </row>
    <row r="4559" spans="1:1">
      <c r="A4559" s="77"/>
    </row>
    <row r="4560" spans="1:1">
      <c r="A4560" s="77"/>
    </row>
    <row r="4561" spans="1:1">
      <c r="A4561" s="77"/>
    </row>
    <row r="4562" spans="1:1">
      <c r="A4562" s="77"/>
    </row>
    <row r="4563" spans="1:1">
      <c r="A4563" s="76"/>
    </row>
    <row r="4564" spans="1:1">
      <c r="A4564" s="77"/>
    </row>
    <row r="4565" spans="1:1">
      <c r="A4565" s="77"/>
    </row>
    <row r="4566" spans="1:1">
      <c r="A4566" s="77"/>
    </row>
    <row r="4567" spans="1:1">
      <c r="A4567" s="77"/>
    </row>
    <row r="4568" spans="1:1">
      <c r="A4568" s="76"/>
    </row>
    <row r="4569" spans="1:1">
      <c r="A4569" s="77"/>
    </row>
    <row r="4570" spans="1:1">
      <c r="A4570" s="77"/>
    </row>
    <row r="4571" spans="1:1">
      <c r="A4571" s="77"/>
    </row>
    <row r="4572" spans="1:1">
      <c r="A4572" s="77"/>
    </row>
    <row r="4573" spans="1:1">
      <c r="A4573" s="76"/>
    </row>
    <row r="4574" spans="1:1">
      <c r="A4574" s="77"/>
    </row>
    <row r="4575" spans="1:1">
      <c r="A4575" s="77"/>
    </row>
    <row r="4576" spans="1:1">
      <c r="A4576" s="76"/>
    </row>
    <row r="4577" spans="1:1">
      <c r="A4577" s="77"/>
    </row>
    <row r="4578" spans="1:1">
      <c r="A4578" s="77"/>
    </row>
    <row r="4579" spans="1:1">
      <c r="A4579" s="77"/>
    </row>
    <row r="4580" spans="1:1">
      <c r="A4580" s="77"/>
    </row>
    <row r="4581" spans="1:1">
      <c r="A4581" s="77"/>
    </row>
    <row r="4582" spans="1:1">
      <c r="A4582" s="76"/>
    </row>
    <row r="4583" spans="1:1">
      <c r="A4583" s="77"/>
    </row>
    <row r="4584" spans="1:1">
      <c r="A4584" s="77"/>
    </row>
    <row r="4585" spans="1:1">
      <c r="A4585" s="77"/>
    </row>
    <row r="4586" spans="1:1">
      <c r="A4586" s="77"/>
    </row>
    <row r="4587" spans="1:1">
      <c r="A4587" s="77"/>
    </row>
    <row r="4588" spans="1:1">
      <c r="A4588" s="77"/>
    </row>
    <row r="4589" spans="1:1">
      <c r="A4589" s="77"/>
    </row>
    <row r="4590" spans="1:1">
      <c r="A4590" s="76"/>
    </row>
    <row r="4591" spans="1:1">
      <c r="A4591" s="77"/>
    </row>
    <row r="4592" spans="1:1">
      <c r="A4592" s="77"/>
    </row>
    <row r="4593" spans="1:1">
      <c r="A4593" s="77"/>
    </row>
    <row r="4594" spans="1:1">
      <c r="A4594" s="77"/>
    </row>
    <row r="4595" spans="1:1">
      <c r="A4595" s="77"/>
    </row>
    <row r="4596" spans="1:1">
      <c r="A4596" s="77"/>
    </row>
    <row r="4597" spans="1:1">
      <c r="A4597" s="77"/>
    </row>
    <row r="4598" spans="1:1">
      <c r="A4598" s="76"/>
    </row>
    <row r="4599" spans="1:1">
      <c r="A4599" s="77"/>
    </row>
    <row r="4600" spans="1:1">
      <c r="A4600" s="77"/>
    </row>
    <row r="4601" spans="1:1">
      <c r="A4601" s="77"/>
    </row>
    <row r="4602" spans="1:1">
      <c r="A4602" s="77"/>
    </row>
    <row r="4603" spans="1:1">
      <c r="A4603" s="77"/>
    </row>
    <row r="4604" spans="1:1">
      <c r="A4604" s="77"/>
    </row>
    <row r="4605" spans="1:1">
      <c r="A4605" s="77"/>
    </row>
    <row r="4606" spans="1:1">
      <c r="A4606" s="76"/>
    </row>
    <row r="4607" spans="1:1">
      <c r="A4607" s="77"/>
    </row>
    <row r="4608" spans="1:1">
      <c r="A4608" s="77"/>
    </row>
    <row r="4609" spans="1:1">
      <c r="A4609" s="77"/>
    </row>
    <row r="4610" spans="1:1">
      <c r="A4610" s="77"/>
    </row>
    <row r="4611" spans="1:1">
      <c r="A4611" s="77"/>
    </row>
    <row r="4612" spans="1:1">
      <c r="A4612" s="77"/>
    </row>
    <row r="4613" spans="1:1">
      <c r="A4613" s="77"/>
    </row>
    <row r="4614" spans="1:1">
      <c r="A4614" s="76"/>
    </row>
    <row r="4615" spans="1:1">
      <c r="A4615" s="77"/>
    </row>
    <row r="4616" spans="1:1">
      <c r="A4616" s="77"/>
    </row>
    <row r="4617" spans="1:1">
      <c r="A4617" s="77"/>
    </row>
    <row r="4618" spans="1:1">
      <c r="A4618" s="77"/>
    </row>
    <row r="4619" spans="1:1">
      <c r="A4619" s="77"/>
    </row>
    <row r="4620" spans="1:1">
      <c r="A4620" s="77"/>
    </row>
    <row r="4621" spans="1:1">
      <c r="A4621" s="77"/>
    </row>
    <row r="4622" spans="1:1">
      <c r="A4622" s="76"/>
    </row>
    <row r="4623" spans="1:1">
      <c r="A4623" s="77"/>
    </row>
    <row r="4624" spans="1:1">
      <c r="A4624" s="77"/>
    </row>
    <row r="4625" spans="1:1">
      <c r="A4625" s="77"/>
    </row>
    <row r="4626" spans="1:1">
      <c r="A4626" s="77"/>
    </row>
    <row r="4627" spans="1:1">
      <c r="A4627" s="77"/>
    </row>
    <row r="4628" spans="1:1">
      <c r="A4628" s="77"/>
    </row>
    <row r="4629" spans="1:1">
      <c r="A4629" s="77"/>
    </row>
    <row r="4630" spans="1:1">
      <c r="A4630" s="76"/>
    </row>
    <row r="4631" spans="1:1">
      <c r="A4631" s="77"/>
    </row>
    <row r="4632" spans="1:1">
      <c r="A4632" s="77"/>
    </row>
    <row r="4633" spans="1:1">
      <c r="A4633" s="76"/>
    </row>
    <row r="4634" spans="1:1">
      <c r="A4634" s="77"/>
    </row>
    <row r="4635" spans="1:1">
      <c r="A4635" s="77"/>
    </row>
    <row r="4636" spans="1:1">
      <c r="A4636" s="77"/>
    </row>
    <row r="4637" spans="1:1">
      <c r="A4637" s="77"/>
    </row>
    <row r="4638" spans="1:1">
      <c r="A4638" s="77"/>
    </row>
    <row r="4639" spans="1:1">
      <c r="A4639" s="76"/>
    </row>
    <row r="4640" spans="1:1">
      <c r="A4640" s="77"/>
    </row>
    <row r="4641" spans="1:1">
      <c r="A4641" s="77"/>
    </row>
    <row r="4642" spans="1:1">
      <c r="A4642" s="77"/>
    </row>
    <row r="4643" spans="1:1">
      <c r="A4643" s="77"/>
    </row>
    <row r="4644" spans="1:1">
      <c r="A4644" s="77"/>
    </row>
    <row r="4645" spans="1:1">
      <c r="A4645" s="77"/>
    </row>
    <row r="4646" spans="1:1">
      <c r="A4646" s="77"/>
    </row>
    <row r="4647" spans="1:1">
      <c r="A4647" s="76"/>
    </row>
    <row r="4648" spans="1:1">
      <c r="A4648" s="77"/>
    </row>
    <row r="4649" spans="1:1">
      <c r="A4649" s="77"/>
    </row>
    <row r="4650" spans="1:1">
      <c r="A4650" s="77"/>
    </row>
    <row r="4651" spans="1:1">
      <c r="A4651" s="77"/>
    </row>
    <row r="4652" spans="1:1">
      <c r="A4652" s="77"/>
    </row>
    <row r="4653" spans="1:1">
      <c r="A4653" s="77"/>
    </row>
    <row r="4654" spans="1:1">
      <c r="A4654" s="77"/>
    </row>
    <row r="4655" spans="1:1">
      <c r="A4655" s="76"/>
    </row>
    <row r="4656" spans="1:1">
      <c r="A4656" s="77"/>
    </row>
    <row r="4657" spans="1:1">
      <c r="A4657" s="77"/>
    </row>
    <row r="4658" spans="1:1">
      <c r="A4658" s="77"/>
    </row>
    <row r="4659" spans="1:1">
      <c r="A4659" s="77"/>
    </row>
    <row r="4660" spans="1:1">
      <c r="A4660" s="77"/>
    </row>
    <row r="4661" spans="1:1">
      <c r="A4661" s="77"/>
    </row>
    <row r="4662" spans="1:1">
      <c r="A4662" s="77"/>
    </row>
    <row r="4663" spans="1:1">
      <c r="A4663" s="76"/>
    </row>
    <row r="4664" spans="1:1">
      <c r="A4664" s="77"/>
    </row>
    <row r="4665" spans="1:1">
      <c r="A4665" s="77"/>
    </row>
    <row r="4666" spans="1:1">
      <c r="A4666" s="77"/>
    </row>
    <row r="4667" spans="1:1">
      <c r="A4667" s="77"/>
    </row>
    <row r="4668" spans="1:1">
      <c r="A4668" s="77"/>
    </row>
    <row r="4669" spans="1:1">
      <c r="A4669" s="77"/>
    </row>
    <row r="4670" spans="1:1">
      <c r="A4670" s="77"/>
    </row>
    <row r="4671" spans="1:1">
      <c r="A4671" s="76"/>
    </row>
    <row r="4672" spans="1:1">
      <c r="A4672" s="77"/>
    </row>
    <row r="4673" spans="1:1">
      <c r="A4673" s="77"/>
    </row>
    <row r="4674" spans="1:1">
      <c r="A4674" s="77"/>
    </row>
    <row r="4675" spans="1:1">
      <c r="A4675" s="77"/>
    </row>
    <row r="4676" spans="1:1">
      <c r="A4676" s="77"/>
    </row>
    <row r="4677" spans="1:1">
      <c r="A4677" s="77"/>
    </row>
    <row r="4678" spans="1:1">
      <c r="A4678" s="77"/>
    </row>
    <row r="4679" spans="1:1">
      <c r="A4679" s="76"/>
    </row>
    <row r="4680" spans="1:1">
      <c r="A4680" s="77"/>
    </row>
    <row r="4681" spans="1:1">
      <c r="A4681" s="77"/>
    </row>
    <row r="4682" spans="1:1">
      <c r="A4682" s="77"/>
    </row>
    <row r="4683" spans="1:1">
      <c r="A4683" s="77"/>
    </row>
    <row r="4684" spans="1:1">
      <c r="A4684" s="77"/>
    </row>
    <row r="4685" spans="1:1">
      <c r="A4685" s="77"/>
    </row>
    <row r="4686" spans="1:1">
      <c r="A4686" s="77"/>
    </row>
    <row r="4687" spans="1:1">
      <c r="A4687" s="76"/>
    </row>
    <row r="4688" spans="1:1">
      <c r="A4688" s="77"/>
    </row>
    <row r="4689" spans="1:1">
      <c r="A4689" s="77"/>
    </row>
    <row r="4690" spans="1:1">
      <c r="A4690" s="77"/>
    </row>
    <row r="4691" spans="1:1">
      <c r="A4691" s="77"/>
    </row>
    <row r="4692" spans="1:1">
      <c r="A4692" s="77"/>
    </row>
    <row r="4693" spans="1:1">
      <c r="A4693" s="76"/>
    </row>
    <row r="4694" spans="1:1">
      <c r="A4694" s="77"/>
    </row>
    <row r="4695" spans="1:1">
      <c r="A4695" s="77"/>
    </row>
    <row r="4696" spans="1:1">
      <c r="A4696" s="76"/>
    </row>
    <row r="4697" spans="1:1">
      <c r="A4697" s="77"/>
    </row>
    <row r="4698" spans="1:1">
      <c r="A4698" s="77"/>
    </row>
    <row r="4699" spans="1:1">
      <c r="A4699" s="77"/>
    </row>
    <row r="4700" spans="1:1">
      <c r="A4700" s="77"/>
    </row>
    <row r="4701" spans="1:1">
      <c r="A4701" s="76"/>
    </row>
    <row r="4702" spans="1:1">
      <c r="A4702" s="77"/>
    </row>
    <row r="4703" spans="1:1">
      <c r="A4703" s="77"/>
    </row>
    <row r="4704" spans="1:1">
      <c r="A4704" s="77"/>
    </row>
    <row r="4705" spans="1:1">
      <c r="A4705" s="77"/>
    </row>
    <row r="4706" spans="1:1">
      <c r="A4706" s="76"/>
    </row>
    <row r="4707" spans="1:1">
      <c r="A4707" s="77"/>
    </row>
    <row r="4708" spans="1:1">
      <c r="A4708" s="77"/>
    </row>
    <row r="4709" spans="1:1">
      <c r="A4709" s="77"/>
    </row>
    <row r="4710" spans="1:1">
      <c r="A4710" s="77"/>
    </row>
    <row r="4711" spans="1:1">
      <c r="A4711" s="76"/>
    </row>
    <row r="4712" spans="1:1">
      <c r="A4712" s="77"/>
    </row>
    <row r="4713" spans="1:1">
      <c r="A4713" s="77"/>
    </row>
    <row r="4714" spans="1:1">
      <c r="A4714" s="77"/>
    </row>
    <row r="4715" spans="1:1">
      <c r="A4715" s="77"/>
    </row>
    <row r="4716" spans="1:1">
      <c r="A4716" s="76"/>
    </row>
    <row r="4717" spans="1:1">
      <c r="A4717" s="77"/>
    </row>
    <row r="4718" spans="1:1">
      <c r="A4718" s="77"/>
    </row>
    <row r="4719" spans="1:1">
      <c r="A4719" s="77"/>
    </row>
    <row r="4720" spans="1:1">
      <c r="A4720" s="77"/>
    </row>
    <row r="4721" spans="1:1">
      <c r="A4721" s="76"/>
    </row>
    <row r="4722" spans="1:1">
      <c r="A4722" s="77"/>
    </row>
    <row r="4723" spans="1:1">
      <c r="A4723" s="77"/>
    </row>
    <row r="4724" spans="1:1">
      <c r="A4724" s="77"/>
    </row>
    <row r="4725" spans="1:1">
      <c r="A4725" s="77"/>
    </row>
    <row r="4726" spans="1:1">
      <c r="A4726" s="76"/>
    </row>
    <row r="4727" spans="1:1">
      <c r="A4727" s="77"/>
    </row>
    <row r="4728" spans="1:1">
      <c r="A4728" s="77"/>
    </row>
    <row r="4729" spans="1:1">
      <c r="A4729" s="77"/>
    </row>
    <row r="4730" spans="1:1">
      <c r="A4730" s="77"/>
    </row>
    <row r="4731" spans="1:1">
      <c r="A4731" s="76"/>
    </row>
    <row r="4732" spans="1:1">
      <c r="A4732" s="77"/>
    </row>
    <row r="4733" spans="1:1">
      <c r="A4733" s="77"/>
    </row>
    <row r="4734" spans="1:1">
      <c r="A4734" s="76"/>
    </row>
    <row r="4735" spans="1:1">
      <c r="A4735" s="77"/>
    </row>
    <row r="4736" spans="1:1">
      <c r="A4736" s="77"/>
    </row>
    <row r="4737" spans="1:1">
      <c r="A4737" s="76"/>
    </row>
    <row r="4738" spans="1:1">
      <c r="A4738" s="77"/>
    </row>
    <row r="4739" spans="1:1">
      <c r="A4739" s="77"/>
    </row>
    <row r="4740" spans="1:1">
      <c r="A4740" s="77"/>
    </row>
    <row r="4741" spans="1:1">
      <c r="A4741" s="77"/>
    </row>
    <row r="4742" spans="1:1">
      <c r="A4742" s="76"/>
    </row>
    <row r="4743" spans="1:1">
      <c r="A4743" s="77"/>
    </row>
    <row r="4744" spans="1:1">
      <c r="A4744" s="77"/>
    </row>
    <row r="4745" spans="1:1">
      <c r="A4745" s="77"/>
    </row>
    <row r="4746" spans="1:1">
      <c r="A4746" s="77"/>
    </row>
    <row r="4747" spans="1:1">
      <c r="A4747" s="76"/>
    </row>
    <row r="4748" spans="1:1">
      <c r="A4748" s="77"/>
    </row>
    <row r="4749" spans="1:1">
      <c r="A4749" s="77"/>
    </row>
    <row r="4750" spans="1:1">
      <c r="A4750" s="77"/>
    </row>
    <row r="4751" spans="1:1">
      <c r="A4751" s="77"/>
    </row>
    <row r="4752" spans="1:1">
      <c r="A4752" s="76"/>
    </row>
    <row r="4753" spans="1:1">
      <c r="A4753" s="77"/>
    </row>
    <row r="4754" spans="1:1">
      <c r="A4754" s="77"/>
    </row>
    <row r="4755" spans="1:1">
      <c r="A4755" s="77"/>
    </row>
    <row r="4756" spans="1:1">
      <c r="A4756" s="77"/>
    </row>
    <row r="4757" spans="1:1">
      <c r="A4757" s="76"/>
    </row>
    <row r="4758" spans="1:1">
      <c r="A4758" s="77"/>
    </row>
    <row r="4759" spans="1:1">
      <c r="A4759" s="77"/>
    </row>
    <row r="4760" spans="1:1">
      <c r="A4760" s="77"/>
    </row>
    <row r="4761" spans="1:1">
      <c r="A4761" s="77"/>
    </row>
    <row r="4762" spans="1:1">
      <c r="A4762" s="76"/>
    </row>
    <row r="4763" spans="1:1">
      <c r="A4763" s="77"/>
    </row>
    <row r="4764" spans="1:1">
      <c r="A4764" s="77"/>
    </row>
    <row r="4765" spans="1:1">
      <c r="A4765" s="77"/>
    </row>
    <row r="4766" spans="1:1">
      <c r="A4766" s="77"/>
    </row>
    <row r="4767" spans="1:1">
      <c r="A4767" s="76"/>
    </row>
    <row r="4768" spans="1:1">
      <c r="A4768" s="77"/>
    </row>
    <row r="4769" spans="1:1">
      <c r="A4769" s="77"/>
    </row>
    <row r="4770" spans="1:1">
      <c r="A4770" s="77"/>
    </row>
    <row r="4771" spans="1:1">
      <c r="A4771" s="77"/>
    </row>
    <row r="4772" spans="1:1">
      <c r="A4772" s="76"/>
    </row>
    <row r="4773" spans="1:1">
      <c r="A4773" s="77"/>
    </row>
    <row r="4774" spans="1:1">
      <c r="A4774" s="77"/>
    </row>
    <row r="4775" spans="1:1">
      <c r="A4775" s="76"/>
    </row>
    <row r="4776" spans="1:1">
      <c r="A4776" s="77"/>
    </row>
    <row r="4777" spans="1:1">
      <c r="A4777" s="77"/>
    </row>
    <row r="4778" spans="1:1">
      <c r="A4778" s="77"/>
    </row>
    <row r="4779" spans="1:1">
      <c r="A4779" s="77"/>
    </row>
    <row r="4780" spans="1:1">
      <c r="A4780" s="77"/>
    </row>
    <row r="4781" spans="1:1">
      <c r="A4781" s="77"/>
    </row>
    <row r="4782" spans="1:1">
      <c r="A4782" s="77"/>
    </row>
    <row r="4783" spans="1:1">
      <c r="A4783" s="76"/>
    </row>
    <row r="4784" spans="1:1">
      <c r="A4784" s="77"/>
    </row>
    <row r="4785" spans="1:1">
      <c r="A4785" s="77"/>
    </row>
    <row r="4786" spans="1:1">
      <c r="A4786" s="77"/>
    </row>
    <row r="4787" spans="1:1">
      <c r="A4787" s="77"/>
    </row>
    <row r="4788" spans="1:1">
      <c r="A4788" s="77"/>
    </row>
    <row r="4789" spans="1:1">
      <c r="A4789" s="77"/>
    </row>
    <row r="4790" spans="1:1">
      <c r="A4790" s="77"/>
    </row>
    <row r="4791" spans="1:1">
      <c r="A4791" s="77"/>
    </row>
    <row r="4792" spans="1:1">
      <c r="A4792" s="77"/>
    </row>
    <row r="4793" spans="1:1">
      <c r="A4793" s="77"/>
    </row>
    <row r="4794" spans="1:1">
      <c r="A4794" s="77"/>
    </row>
    <row r="4795" spans="1:1">
      <c r="A4795" s="77"/>
    </row>
    <row r="4796" spans="1:1">
      <c r="A4796" s="76"/>
    </row>
    <row r="4797" spans="1:1">
      <c r="A4797" s="77"/>
    </row>
    <row r="4798" spans="1:1">
      <c r="A4798" s="76"/>
    </row>
    <row r="4799" spans="1:1">
      <c r="A4799" s="77"/>
    </row>
    <row r="4800" spans="1:1">
      <c r="A4800" s="77"/>
    </row>
    <row r="4801" spans="1:1">
      <c r="A4801" s="77"/>
    </row>
    <row r="4802" spans="1:1">
      <c r="A4802" s="77"/>
    </row>
    <row r="4803" spans="1:1">
      <c r="A4803" s="77"/>
    </row>
    <row r="4804" spans="1:1">
      <c r="A4804" s="77"/>
    </row>
    <row r="4805" spans="1:1">
      <c r="A4805" s="77"/>
    </row>
    <row r="4806" spans="1:1">
      <c r="A4806" s="77"/>
    </row>
    <row r="4807" spans="1:1">
      <c r="A4807" s="77"/>
    </row>
    <row r="4808" spans="1:1">
      <c r="A4808" s="77"/>
    </row>
    <row r="4809" spans="1:1">
      <c r="A4809" s="77"/>
    </row>
    <row r="4810" spans="1:1">
      <c r="A4810" s="77"/>
    </row>
    <row r="4811" spans="1:1">
      <c r="A4811" s="77"/>
    </row>
    <row r="4812" spans="1:1">
      <c r="A4812" s="77"/>
    </row>
    <row r="4813" spans="1:1">
      <c r="A4813" s="77"/>
    </row>
    <row r="4814" spans="1:1">
      <c r="A4814" s="77"/>
    </row>
    <row r="4815" spans="1:1">
      <c r="A4815" s="77"/>
    </row>
    <row r="4816" spans="1:1">
      <c r="A4816" s="77"/>
    </row>
    <row r="4817" spans="1:1">
      <c r="A4817" s="77"/>
    </row>
    <row r="4818" spans="1:1">
      <c r="A4818" s="77"/>
    </row>
    <row r="4819" spans="1:1">
      <c r="A4819" s="77"/>
    </row>
    <row r="4820" spans="1:1">
      <c r="A4820" s="77"/>
    </row>
    <row r="4821" spans="1:1">
      <c r="A4821" s="77"/>
    </row>
    <row r="4822" spans="1:1">
      <c r="A4822" s="77"/>
    </row>
    <row r="4823" spans="1:1">
      <c r="A4823" s="77"/>
    </row>
    <row r="4824" spans="1:1">
      <c r="A4824" s="77"/>
    </row>
    <row r="4825" spans="1:1">
      <c r="A4825" s="77"/>
    </row>
    <row r="4826" spans="1:1">
      <c r="A4826" s="77"/>
    </row>
    <row r="4827" spans="1:1">
      <c r="A4827" s="76"/>
    </row>
    <row r="4828" spans="1:1">
      <c r="A4828" s="77"/>
    </row>
    <row r="4829" spans="1:1">
      <c r="A4829" s="77"/>
    </row>
    <row r="4830" spans="1:1">
      <c r="A4830" s="77"/>
    </row>
    <row r="4831" spans="1:1">
      <c r="A4831" s="76"/>
    </row>
    <row r="4832" spans="1:1">
      <c r="A4832" s="77"/>
    </row>
    <row r="4833" spans="1:1">
      <c r="A4833" s="77"/>
    </row>
    <row r="4834" spans="1:1">
      <c r="A4834" s="77"/>
    </row>
    <row r="4835" spans="1:1">
      <c r="A4835" s="77"/>
    </row>
    <row r="4836" spans="1:1">
      <c r="A4836" s="77"/>
    </row>
    <row r="4837" spans="1:1">
      <c r="A4837" s="77"/>
    </row>
    <row r="4838" spans="1:1">
      <c r="A4838" s="77"/>
    </row>
    <row r="4839" spans="1:1">
      <c r="A4839" s="77"/>
    </row>
    <row r="4840" spans="1:1">
      <c r="A4840" s="77"/>
    </row>
    <row r="4841" spans="1:1">
      <c r="A4841" s="77"/>
    </row>
    <row r="4842" spans="1:1">
      <c r="A4842" s="76"/>
    </row>
    <row r="4843" spans="1:1">
      <c r="A4843" s="77"/>
    </row>
    <row r="4844" spans="1:1">
      <c r="A4844" s="77"/>
    </row>
    <row r="4845" spans="1:1">
      <c r="A4845" s="77"/>
    </row>
    <row r="4846" spans="1:1">
      <c r="A4846" s="77"/>
    </row>
    <row r="4847" spans="1:1">
      <c r="A4847" s="77"/>
    </row>
    <row r="4848" spans="1:1">
      <c r="A4848" s="77"/>
    </row>
    <row r="4849" spans="1:1">
      <c r="A4849" s="77"/>
    </row>
    <row r="4850" spans="1:1">
      <c r="A4850" s="77"/>
    </row>
    <row r="4851" spans="1:1">
      <c r="A4851" s="77"/>
    </row>
    <row r="4852" spans="1:1">
      <c r="A4852" s="76"/>
    </row>
    <row r="4853" spans="1:1">
      <c r="A4853" s="77"/>
    </row>
    <row r="4854" spans="1:1">
      <c r="A4854" s="77"/>
    </row>
    <row r="4855" spans="1:1">
      <c r="A4855" s="77"/>
    </row>
    <row r="4856" spans="1:1">
      <c r="A4856" s="76"/>
    </row>
    <row r="4857" spans="1:1">
      <c r="A4857" s="77"/>
    </row>
    <row r="4858" spans="1:1">
      <c r="A4858" s="76"/>
    </row>
    <row r="4859" spans="1:1">
      <c r="A4859" s="77"/>
    </row>
    <row r="4860" spans="1:1">
      <c r="A4860" s="77"/>
    </row>
    <row r="4861" spans="1:1">
      <c r="A4861" s="77"/>
    </row>
    <row r="4862" spans="1:1">
      <c r="A4862" s="77"/>
    </row>
    <row r="4863" spans="1:1">
      <c r="A4863" s="77"/>
    </row>
    <row r="4864" spans="1:1">
      <c r="A4864" s="77"/>
    </row>
    <row r="4865" spans="1:1">
      <c r="A4865" s="77"/>
    </row>
    <row r="4866" spans="1:1">
      <c r="A4866" s="77"/>
    </row>
    <row r="4867" spans="1:1">
      <c r="A4867" s="77"/>
    </row>
    <row r="4868" spans="1:1">
      <c r="A4868" s="77"/>
    </row>
    <row r="4869" spans="1:1">
      <c r="A4869" s="77"/>
    </row>
    <row r="4870" spans="1:1">
      <c r="A4870" s="77"/>
    </row>
    <row r="4871" spans="1:1">
      <c r="A4871" s="77"/>
    </row>
    <row r="4872" spans="1:1">
      <c r="A4872" s="77"/>
    </row>
    <row r="4873" spans="1:1">
      <c r="A4873" s="77"/>
    </row>
    <row r="4874" spans="1:1">
      <c r="A4874" s="77"/>
    </row>
    <row r="4875" spans="1:1">
      <c r="A4875" s="77"/>
    </row>
    <row r="4876" spans="1:1">
      <c r="A4876" s="77"/>
    </row>
    <row r="4877" spans="1:1">
      <c r="A4877" s="76"/>
    </row>
    <row r="4878" spans="1:1">
      <c r="A4878" s="77"/>
    </row>
    <row r="4879" spans="1:1">
      <c r="A4879" s="77"/>
    </row>
    <row r="4880" spans="1:1">
      <c r="A4880" s="77"/>
    </row>
    <row r="4881" spans="1:1">
      <c r="A4881" s="77"/>
    </row>
    <row r="4882" spans="1:1">
      <c r="A4882" s="77"/>
    </row>
    <row r="4883" spans="1:1">
      <c r="A4883" s="77"/>
    </row>
    <row r="4884" spans="1:1">
      <c r="A4884" s="77"/>
    </row>
    <row r="4885" spans="1:1">
      <c r="A4885" s="76"/>
    </row>
    <row r="4886" spans="1:1">
      <c r="A4886" s="77"/>
    </row>
    <row r="4887" spans="1:1">
      <c r="A4887" s="77"/>
    </row>
    <row r="4888" spans="1:1">
      <c r="A4888" s="77"/>
    </row>
    <row r="4889" spans="1:1">
      <c r="A4889" s="77"/>
    </row>
    <row r="4890" spans="1:1">
      <c r="A4890" s="77"/>
    </row>
    <row r="4891" spans="1:1">
      <c r="A4891" s="77"/>
    </row>
    <row r="4892" spans="1:1">
      <c r="A4892" s="77"/>
    </row>
    <row r="4893" spans="1:1">
      <c r="A4893" s="77"/>
    </row>
    <row r="4894" spans="1:1">
      <c r="A4894" s="77"/>
    </row>
    <row r="4895" spans="1:1">
      <c r="A4895" s="77"/>
    </row>
    <row r="4896" spans="1:1">
      <c r="A4896" s="77"/>
    </row>
    <row r="4897" spans="1:1">
      <c r="A4897" s="77"/>
    </row>
    <row r="4898" spans="1:1">
      <c r="A4898" s="77"/>
    </row>
    <row r="4899" spans="1:1">
      <c r="A4899" s="77"/>
    </row>
    <row r="4900" spans="1:1">
      <c r="A4900" s="77"/>
    </row>
    <row r="4901" spans="1:1">
      <c r="A4901" s="77"/>
    </row>
    <row r="4902" spans="1:1">
      <c r="A4902" s="77"/>
    </row>
    <row r="4903" spans="1:1">
      <c r="A4903" s="77"/>
    </row>
    <row r="4904" spans="1:1">
      <c r="A4904" s="77"/>
    </row>
    <row r="4905" spans="1:1">
      <c r="A4905" s="77"/>
    </row>
    <row r="4906" spans="1:1">
      <c r="A4906" s="77"/>
    </row>
    <row r="4907" spans="1:1">
      <c r="A4907" s="77"/>
    </row>
    <row r="4908" spans="1:1">
      <c r="A4908" s="76"/>
    </row>
    <row r="4909" spans="1:1">
      <c r="A4909" s="77"/>
    </row>
    <row r="4910" spans="1:1">
      <c r="A4910" s="77"/>
    </row>
    <row r="4911" spans="1:1">
      <c r="A4911" s="77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4222"/>
  <sheetViews>
    <sheetView topLeftCell="A61" workbookViewId="0">
      <selection activeCell="B5" sqref="B5:C123"/>
    </sheetView>
  </sheetViews>
  <sheetFormatPr defaultColWidth="9" defaultRowHeight="12.75"/>
  <cols>
    <col min="1" max="3" width="9" style="87"/>
    <col min="4" max="16384" width="9" style="17"/>
  </cols>
  <sheetData>
    <row r="1" spans="1:3">
      <c r="B1" s="94"/>
      <c r="C1" s="94"/>
    </row>
    <row r="2" spans="1:3" ht="13.5" thickBot="1">
      <c r="B2" s="94"/>
      <c r="C2" s="94"/>
    </row>
    <row r="3" spans="1:3">
      <c r="B3" s="176" t="s">
        <v>149</v>
      </c>
      <c r="C3" s="177"/>
    </row>
    <row r="4" spans="1:3" ht="13.5" thickBot="1">
      <c r="B4" s="95" t="s">
        <v>16</v>
      </c>
      <c r="C4" s="96" t="s">
        <v>26</v>
      </c>
    </row>
    <row r="5" spans="1:3">
      <c r="B5" s="99" t="s">
        <v>667</v>
      </c>
      <c r="C5" s="103" t="s">
        <v>151</v>
      </c>
    </row>
    <row r="6" spans="1:3">
      <c r="A6" s="99" t="s">
        <v>303</v>
      </c>
      <c r="B6" s="99" t="s">
        <v>259</v>
      </c>
      <c r="C6" s="99" t="s">
        <v>1</v>
      </c>
    </row>
    <row r="7" spans="1:3">
      <c r="A7" s="99" t="s">
        <v>305</v>
      </c>
      <c r="B7" s="99" t="s">
        <v>304</v>
      </c>
      <c r="C7" s="99" t="s">
        <v>84</v>
      </c>
    </row>
    <row r="8" spans="1:3">
      <c r="A8" s="99" t="s">
        <v>306</v>
      </c>
      <c r="B8" s="99" t="s">
        <v>856</v>
      </c>
      <c r="C8" s="99" t="s">
        <v>528</v>
      </c>
    </row>
    <row r="9" spans="1:3">
      <c r="A9" s="99" t="s">
        <v>308</v>
      </c>
      <c r="B9" s="99" t="s">
        <v>307</v>
      </c>
      <c r="C9" s="99" t="s">
        <v>309</v>
      </c>
    </row>
    <row r="10" spans="1:3">
      <c r="A10" s="99" t="s">
        <v>167</v>
      </c>
      <c r="B10" s="99" t="s">
        <v>168</v>
      </c>
      <c r="C10" s="99" t="s">
        <v>81</v>
      </c>
    </row>
    <row r="11" spans="1:3">
      <c r="A11" s="99" t="s">
        <v>310</v>
      </c>
      <c r="B11" s="99" t="s">
        <v>219</v>
      </c>
      <c r="C11" s="99" t="s">
        <v>84</v>
      </c>
    </row>
    <row r="12" spans="1:3">
      <c r="A12" s="99" t="s">
        <v>311</v>
      </c>
      <c r="B12" s="99" t="s">
        <v>230</v>
      </c>
      <c r="C12" s="99" t="s">
        <v>84</v>
      </c>
    </row>
    <row r="13" spans="1:3">
      <c r="A13" s="99" t="s">
        <v>179</v>
      </c>
      <c r="B13" s="99" t="s">
        <v>180</v>
      </c>
      <c r="C13" s="99" t="s">
        <v>217</v>
      </c>
    </row>
    <row r="14" spans="1:3">
      <c r="A14" s="99" t="s">
        <v>313</v>
      </c>
      <c r="B14" s="99" t="s">
        <v>312</v>
      </c>
      <c r="C14" s="99" t="s">
        <v>314</v>
      </c>
    </row>
    <row r="15" spans="1:3">
      <c r="A15" s="99" t="s">
        <v>555</v>
      </c>
      <c r="B15" s="99" t="s">
        <v>554</v>
      </c>
      <c r="C15" s="99" t="s">
        <v>84</v>
      </c>
    </row>
    <row r="16" spans="1:3">
      <c r="A16" s="99" t="s">
        <v>529</v>
      </c>
      <c r="B16" s="99" t="s">
        <v>857</v>
      </c>
      <c r="C16" s="99" t="s">
        <v>84</v>
      </c>
    </row>
    <row r="17" spans="1:3">
      <c r="A17" s="99" t="s">
        <v>503</v>
      </c>
      <c r="B17" s="99" t="s">
        <v>489</v>
      </c>
      <c r="C17" s="99" t="s">
        <v>84</v>
      </c>
    </row>
    <row r="18" spans="1:3">
      <c r="A18" s="99" t="s">
        <v>504</v>
      </c>
      <c r="B18" s="99" t="s">
        <v>890</v>
      </c>
      <c r="C18" s="99" t="s">
        <v>84</v>
      </c>
    </row>
    <row r="19" spans="1:3">
      <c r="A19" s="99" t="s">
        <v>557</v>
      </c>
      <c r="B19" s="99" t="s">
        <v>556</v>
      </c>
      <c r="C19" s="99" t="s">
        <v>84</v>
      </c>
    </row>
    <row r="20" spans="1:3">
      <c r="A20" s="99" t="s">
        <v>558</v>
      </c>
      <c r="B20" s="99" t="s">
        <v>858</v>
      </c>
      <c r="C20" s="99" t="s">
        <v>84</v>
      </c>
    </row>
    <row r="21" spans="1:3">
      <c r="A21" s="99" t="s">
        <v>505</v>
      </c>
      <c r="B21" s="99" t="s">
        <v>490</v>
      </c>
      <c r="C21" s="99" t="s">
        <v>84</v>
      </c>
    </row>
    <row r="22" spans="1:3">
      <c r="A22" s="99" t="s">
        <v>506</v>
      </c>
      <c r="B22" s="99" t="s">
        <v>891</v>
      </c>
      <c r="C22" s="99" t="s">
        <v>84</v>
      </c>
    </row>
    <row r="23" spans="1:3">
      <c r="A23" s="99" t="s">
        <v>507</v>
      </c>
      <c r="B23" s="99" t="s">
        <v>892</v>
      </c>
      <c r="C23" s="99" t="s">
        <v>84</v>
      </c>
    </row>
    <row r="24" spans="1:3">
      <c r="A24" s="99" t="s">
        <v>508</v>
      </c>
      <c r="B24" s="99" t="s">
        <v>893</v>
      </c>
      <c r="C24" s="99" t="s">
        <v>84</v>
      </c>
    </row>
    <row r="25" spans="1:3">
      <c r="A25" s="99" t="s">
        <v>531</v>
      </c>
      <c r="B25" s="99" t="s">
        <v>530</v>
      </c>
      <c r="C25" s="99" t="s">
        <v>84</v>
      </c>
    </row>
    <row r="26" spans="1:3">
      <c r="A26" s="99" t="s">
        <v>532</v>
      </c>
      <c r="B26" s="99" t="s">
        <v>859</v>
      </c>
      <c r="C26" s="99" t="s">
        <v>84</v>
      </c>
    </row>
    <row r="27" spans="1:3">
      <c r="A27" s="99" t="s">
        <v>509</v>
      </c>
      <c r="B27" s="99" t="s">
        <v>491</v>
      </c>
      <c r="C27" s="99" t="s">
        <v>84</v>
      </c>
    </row>
    <row r="28" spans="1:3">
      <c r="A28" s="99" t="s">
        <v>510</v>
      </c>
      <c r="B28" s="99" t="s">
        <v>894</v>
      </c>
      <c r="C28" s="99" t="s">
        <v>84</v>
      </c>
    </row>
    <row r="29" spans="1:3">
      <c r="A29" s="99" t="s">
        <v>534</v>
      </c>
      <c r="B29" s="99" t="s">
        <v>533</v>
      </c>
      <c r="C29" s="99" t="s">
        <v>84</v>
      </c>
    </row>
    <row r="30" spans="1:3">
      <c r="A30" s="99" t="s">
        <v>535</v>
      </c>
      <c r="B30" s="99" t="s">
        <v>860</v>
      </c>
      <c r="C30" s="99" t="s">
        <v>84</v>
      </c>
    </row>
    <row r="31" spans="1:3">
      <c r="A31" s="99" t="s">
        <v>536</v>
      </c>
      <c r="B31" s="99" t="s">
        <v>861</v>
      </c>
      <c r="C31" s="99" t="s">
        <v>84</v>
      </c>
    </row>
    <row r="32" spans="1:3">
      <c r="A32" s="99" t="s">
        <v>537</v>
      </c>
      <c r="B32" s="99" t="s">
        <v>862</v>
      </c>
      <c r="C32" s="99" t="s">
        <v>84</v>
      </c>
    </row>
    <row r="33" spans="1:3">
      <c r="A33" s="99" t="s">
        <v>538</v>
      </c>
      <c r="B33" s="99" t="s">
        <v>863</v>
      </c>
      <c r="C33" s="99" t="s">
        <v>84</v>
      </c>
    </row>
    <row r="34" spans="1:3">
      <c r="A34" s="99" t="s">
        <v>411</v>
      </c>
      <c r="B34" s="99" t="s">
        <v>57</v>
      </c>
      <c r="C34" s="99" t="s">
        <v>84</v>
      </c>
    </row>
    <row r="35" spans="1:3">
      <c r="A35" s="99" t="s">
        <v>413</v>
      </c>
      <c r="B35" s="99" t="s">
        <v>55</v>
      </c>
      <c r="C35" s="99" t="s">
        <v>84</v>
      </c>
    </row>
    <row r="36" spans="1:3">
      <c r="A36" s="99" t="s">
        <v>414</v>
      </c>
      <c r="B36" s="99" t="s">
        <v>92</v>
      </c>
      <c r="C36" s="99" t="s">
        <v>84</v>
      </c>
    </row>
    <row r="37" spans="1:3">
      <c r="A37" s="99" t="s">
        <v>415</v>
      </c>
      <c r="B37" s="99" t="s">
        <v>94</v>
      </c>
      <c r="C37" s="99" t="s">
        <v>84</v>
      </c>
    </row>
    <row r="38" spans="1:3">
      <c r="A38" s="99" t="s">
        <v>416</v>
      </c>
      <c r="B38" s="99" t="s">
        <v>895</v>
      </c>
      <c r="C38" s="99" t="s">
        <v>84</v>
      </c>
    </row>
    <row r="39" spans="1:3">
      <c r="A39" s="99" t="s">
        <v>417</v>
      </c>
      <c r="B39" s="99" t="s">
        <v>896</v>
      </c>
      <c r="C39" s="99" t="s">
        <v>84</v>
      </c>
    </row>
    <row r="40" spans="1:3">
      <c r="A40" s="99" t="s">
        <v>418</v>
      </c>
      <c r="B40" s="99" t="s">
        <v>897</v>
      </c>
      <c r="C40" s="99" t="s">
        <v>84</v>
      </c>
    </row>
    <row r="41" spans="1:3">
      <c r="A41" s="99" t="s">
        <v>419</v>
      </c>
      <c r="B41" s="99" t="s">
        <v>898</v>
      </c>
      <c r="C41" s="99" t="s">
        <v>84</v>
      </c>
    </row>
    <row r="42" spans="1:3">
      <c r="A42" s="99" t="s">
        <v>420</v>
      </c>
      <c r="B42" s="99" t="s">
        <v>899</v>
      </c>
      <c r="C42" s="99" t="s">
        <v>84</v>
      </c>
    </row>
    <row r="43" spans="1:3">
      <c r="A43" s="99" t="s">
        <v>421</v>
      </c>
      <c r="B43" s="99" t="s">
        <v>900</v>
      </c>
      <c r="C43" s="99" t="s">
        <v>84</v>
      </c>
    </row>
    <row r="44" spans="1:3">
      <c r="A44" s="99" t="s">
        <v>422</v>
      </c>
      <c r="B44" s="99" t="s">
        <v>901</v>
      </c>
      <c r="C44" s="99" t="s">
        <v>84</v>
      </c>
    </row>
    <row r="45" spans="1:3">
      <c r="A45" s="99" t="s">
        <v>423</v>
      </c>
      <c r="B45" s="99" t="s">
        <v>881</v>
      </c>
      <c r="C45" s="99" t="s">
        <v>84</v>
      </c>
    </row>
    <row r="46" spans="1:3">
      <c r="A46" s="99" t="s">
        <v>424</v>
      </c>
      <c r="B46" s="99" t="s">
        <v>902</v>
      </c>
      <c r="C46" s="99" t="s">
        <v>84</v>
      </c>
    </row>
    <row r="47" spans="1:3">
      <c r="A47" s="99" t="s">
        <v>425</v>
      </c>
      <c r="B47" s="99" t="s">
        <v>654</v>
      </c>
      <c r="C47" s="99" t="s">
        <v>84</v>
      </c>
    </row>
    <row r="48" spans="1:3">
      <c r="A48" s="99" t="s">
        <v>609</v>
      </c>
      <c r="B48" s="99" t="s">
        <v>864</v>
      </c>
      <c r="C48" s="99" t="s">
        <v>84</v>
      </c>
    </row>
    <row r="49" spans="1:3">
      <c r="A49" s="99" t="s">
        <v>511</v>
      </c>
      <c r="B49" s="99" t="s">
        <v>492</v>
      </c>
      <c r="C49" s="99" t="s">
        <v>518</v>
      </c>
    </row>
    <row r="50" spans="1:3">
      <c r="A50" s="99" t="s">
        <v>560</v>
      </c>
      <c r="B50" s="99" t="s">
        <v>559</v>
      </c>
      <c r="C50" s="99" t="s">
        <v>81</v>
      </c>
    </row>
    <row r="51" spans="1:3">
      <c r="A51" s="99" t="s">
        <v>561</v>
      </c>
      <c r="B51" s="99" t="s">
        <v>865</v>
      </c>
      <c r="C51" s="99" t="s">
        <v>81</v>
      </c>
    </row>
    <row r="52" spans="1:3">
      <c r="A52" s="99" t="s">
        <v>562</v>
      </c>
      <c r="B52" s="99" t="s">
        <v>866</v>
      </c>
      <c r="C52" s="99" t="s">
        <v>539</v>
      </c>
    </row>
    <row r="53" spans="1:3">
      <c r="A53" s="99" t="s">
        <v>540</v>
      </c>
      <c r="B53" s="99" t="s">
        <v>867</v>
      </c>
      <c r="C53" s="99" t="s">
        <v>539</v>
      </c>
    </row>
    <row r="54" spans="1:3">
      <c r="A54" s="99" t="s">
        <v>541</v>
      </c>
      <c r="B54" s="99" t="s">
        <v>868</v>
      </c>
      <c r="C54" s="99" t="s">
        <v>81</v>
      </c>
    </row>
    <row r="55" spans="1:3">
      <c r="A55" s="99" t="s">
        <v>542</v>
      </c>
      <c r="B55" s="99" t="s">
        <v>869</v>
      </c>
      <c r="C55" s="99" t="s">
        <v>81</v>
      </c>
    </row>
    <row r="56" spans="1:3">
      <c r="A56" s="99" t="s">
        <v>563</v>
      </c>
      <c r="B56" s="99" t="s">
        <v>870</v>
      </c>
      <c r="C56" s="99" t="s">
        <v>539</v>
      </c>
    </row>
    <row r="57" spans="1:3">
      <c r="A57" s="99" t="s">
        <v>564</v>
      </c>
      <c r="B57" s="99" t="s">
        <v>871</v>
      </c>
      <c r="C57" s="99" t="s">
        <v>539</v>
      </c>
    </row>
    <row r="58" spans="1:3">
      <c r="A58" s="99" t="s">
        <v>332</v>
      </c>
      <c r="B58" s="99" t="s">
        <v>220</v>
      </c>
      <c r="C58" s="99" t="s">
        <v>84</v>
      </c>
    </row>
    <row r="59" spans="1:3">
      <c r="A59" s="99" t="s">
        <v>185</v>
      </c>
      <c r="B59" s="99" t="s">
        <v>186</v>
      </c>
      <c r="C59" s="99" t="s">
        <v>110</v>
      </c>
    </row>
    <row r="60" spans="1:3">
      <c r="A60" s="99" t="s">
        <v>187</v>
      </c>
      <c r="B60" s="99" t="s">
        <v>188</v>
      </c>
      <c r="C60" s="99" t="s">
        <v>1</v>
      </c>
    </row>
    <row r="61" spans="1:3">
      <c r="A61" s="99" t="s">
        <v>333</v>
      </c>
      <c r="B61" s="99" t="s">
        <v>260</v>
      </c>
      <c r="C61" s="99" t="s">
        <v>1</v>
      </c>
    </row>
    <row r="62" spans="1:3">
      <c r="A62" s="99" t="s">
        <v>334</v>
      </c>
      <c r="B62" s="99" t="s">
        <v>261</v>
      </c>
      <c r="C62" s="99" t="s">
        <v>1</v>
      </c>
    </row>
    <row r="63" spans="1:3">
      <c r="A63" s="99" t="s">
        <v>335</v>
      </c>
      <c r="B63" s="99" t="s">
        <v>872</v>
      </c>
      <c r="C63" s="99" t="s">
        <v>262</v>
      </c>
    </row>
    <row r="64" spans="1:3">
      <c r="A64" s="99" t="s">
        <v>272</v>
      </c>
      <c r="B64" s="99" t="s">
        <v>969</v>
      </c>
      <c r="C64" s="99" t="s">
        <v>99</v>
      </c>
    </row>
    <row r="65" spans="1:3">
      <c r="A65" s="99" t="s">
        <v>566</v>
      </c>
      <c r="B65" s="99" t="s">
        <v>565</v>
      </c>
      <c r="C65" s="99" t="s">
        <v>567</v>
      </c>
    </row>
    <row r="66" spans="1:3">
      <c r="A66" s="99" t="s">
        <v>336</v>
      </c>
      <c r="B66" s="99" t="s">
        <v>221</v>
      </c>
      <c r="C66" s="99" t="s">
        <v>222</v>
      </c>
    </row>
    <row r="67" spans="1:3">
      <c r="A67" s="99" t="s">
        <v>337</v>
      </c>
      <c r="B67" s="99" t="s">
        <v>263</v>
      </c>
      <c r="C67" s="99" t="s">
        <v>1</v>
      </c>
    </row>
    <row r="68" spans="1:3">
      <c r="A68" s="99" t="s">
        <v>428</v>
      </c>
      <c r="B68" s="99" t="s">
        <v>223</v>
      </c>
      <c r="C68" s="99" t="s">
        <v>84</v>
      </c>
    </row>
    <row r="69" spans="1:3">
      <c r="A69" s="99" t="s">
        <v>193</v>
      </c>
      <c r="B69" s="99" t="s">
        <v>903</v>
      </c>
      <c r="C69" s="99" t="s">
        <v>137</v>
      </c>
    </row>
    <row r="70" spans="1:3">
      <c r="A70" s="99" t="s">
        <v>194</v>
      </c>
      <c r="B70" s="99" t="s">
        <v>904</v>
      </c>
      <c r="C70" s="99" t="s">
        <v>99</v>
      </c>
    </row>
    <row r="71" spans="1:3">
      <c r="A71" s="99" t="s">
        <v>195</v>
      </c>
      <c r="B71" s="99" t="s">
        <v>905</v>
      </c>
      <c r="C71" s="99" t="s">
        <v>171</v>
      </c>
    </row>
    <row r="72" spans="1:3">
      <c r="A72" s="99" t="s">
        <v>197</v>
      </c>
      <c r="B72" s="99" t="s">
        <v>906</v>
      </c>
      <c r="C72" s="99" t="s">
        <v>111</v>
      </c>
    </row>
    <row r="73" spans="1:3">
      <c r="A73" s="99" t="s">
        <v>429</v>
      </c>
      <c r="B73" s="99" t="s">
        <v>568</v>
      </c>
      <c r="C73" s="99" t="s">
        <v>135</v>
      </c>
    </row>
    <row r="74" spans="1:3">
      <c r="A74" s="99" t="s">
        <v>569</v>
      </c>
      <c r="B74" s="99" t="s">
        <v>873</v>
      </c>
      <c r="C74" s="99" t="s">
        <v>87</v>
      </c>
    </row>
    <row r="75" spans="1:3">
      <c r="A75" s="99" t="s">
        <v>198</v>
      </c>
      <c r="B75" s="99" t="s">
        <v>199</v>
      </c>
      <c r="C75" s="99" t="s">
        <v>135</v>
      </c>
    </row>
    <row r="76" spans="1:3">
      <c r="A76" s="99" t="s">
        <v>203</v>
      </c>
      <c r="B76" s="99" t="s">
        <v>204</v>
      </c>
      <c r="C76" s="99" t="s">
        <v>84</v>
      </c>
    </row>
    <row r="77" spans="1:3">
      <c r="A77" s="99" t="s">
        <v>338</v>
      </c>
      <c r="B77" s="99" t="s">
        <v>224</v>
      </c>
      <c r="C77" s="99" t="s">
        <v>89</v>
      </c>
    </row>
    <row r="78" spans="1:3">
      <c r="A78" s="99" t="s">
        <v>339</v>
      </c>
      <c r="B78" s="99" t="s">
        <v>264</v>
      </c>
      <c r="C78" s="99" t="s">
        <v>340</v>
      </c>
    </row>
    <row r="79" spans="1:3">
      <c r="A79" s="99" t="s">
        <v>341</v>
      </c>
      <c r="B79" s="99" t="s">
        <v>265</v>
      </c>
      <c r="C79" s="99" t="s">
        <v>266</v>
      </c>
    </row>
    <row r="80" spans="1:3">
      <c r="A80" s="99" t="s">
        <v>342</v>
      </c>
      <c r="B80" s="99" t="s">
        <v>226</v>
      </c>
      <c r="C80" s="99" t="s">
        <v>84</v>
      </c>
    </row>
    <row r="81" spans="1:3">
      <c r="A81" s="99" t="s">
        <v>343</v>
      </c>
      <c r="B81" s="99" t="s">
        <v>267</v>
      </c>
      <c r="C81" s="99" t="s">
        <v>268</v>
      </c>
    </row>
    <row r="82" spans="1:3">
      <c r="A82" s="99" t="s">
        <v>205</v>
      </c>
      <c r="B82" s="99" t="s">
        <v>206</v>
      </c>
      <c r="C82" s="99" t="s">
        <v>1</v>
      </c>
    </row>
    <row r="83" spans="1:3">
      <c r="A83" s="99" t="s">
        <v>209</v>
      </c>
      <c r="B83" s="99" t="s">
        <v>210</v>
      </c>
      <c r="C83" s="99" t="s">
        <v>84</v>
      </c>
    </row>
    <row r="84" spans="1:3">
      <c r="A84" s="99" t="s">
        <v>571</v>
      </c>
      <c r="B84" s="99" t="s">
        <v>570</v>
      </c>
      <c r="C84" s="99" t="s">
        <v>543</v>
      </c>
    </row>
    <row r="85" spans="1:3">
      <c r="A85" s="99" t="s">
        <v>612</v>
      </c>
      <c r="B85" s="99" t="s">
        <v>611</v>
      </c>
      <c r="C85" s="99" t="s">
        <v>135</v>
      </c>
    </row>
    <row r="86" spans="1:3">
      <c r="A86" s="99" t="s">
        <v>544</v>
      </c>
      <c r="B86" s="99" t="s">
        <v>874</v>
      </c>
      <c r="C86" s="99" t="s">
        <v>135</v>
      </c>
    </row>
    <row r="87" spans="1:3">
      <c r="A87" s="99" t="s">
        <v>579</v>
      </c>
      <c r="B87" s="99" t="s">
        <v>907</v>
      </c>
      <c r="C87" s="99" t="s">
        <v>84</v>
      </c>
    </row>
    <row r="88" spans="1:3">
      <c r="A88" s="99" t="s">
        <v>582</v>
      </c>
      <c r="B88" s="99" t="s">
        <v>911</v>
      </c>
      <c r="C88" s="99" t="s">
        <v>84</v>
      </c>
    </row>
    <row r="89" spans="1:3">
      <c r="A89" s="99" t="s">
        <v>585</v>
      </c>
      <c r="B89" s="99" t="s">
        <v>914</v>
      </c>
      <c r="C89" s="99" t="s">
        <v>84</v>
      </c>
    </row>
    <row r="90" spans="1:3">
      <c r="A90" s="99" t="s">
        <v>615</v>
      </c>
      <c r="B90" s="99" t="s">
        <v>875</v>
      </c>
      <c r="C90" s="99" t="s">
        <v>84</v>
      </c>
    </row>
    <row r="91" spans="1:3">
      <c r="A91" s="99" t="s">
        <v>591</v>
      </c>
      <c r="B91" s="99" t="s">
        <v>602</v>
      </c>
      <c r="C91" s="99" t="s">
        <v>84</v>
      </c>
    </row>
    <row r="92" spans="1:3">
      <c r="A92" s="99" t="s">
        <v>592</v>
      </c>
      <c r="B92" s="99" t="s">
        <v>919</v>
      </c>
      <c r="C92" s="99" t="s">
        <v>84</v>
      </c>
    </row>
    <row r="93" spans="1:3">
      <c r="A93" s="99" t="s">
        <v>593</v>
      </c>
      <c r="B93" s="99" t="s">
        <v>920</v>
      </c>
      <c r="C93" s="99" t="s">
        <v>84</v>
      </c>
    </row>
    <row r="94" spans="1:3">
      <c r="A94" s="99" t="s">
        <v>348</v>
      </c>
      <c r="B94" s="99" t="s">
        <v>347</v>
      </c>
      <c r="C94" s="99" t="s">
        <v>135</v>
      </c>
    </row>
    <row r="95" spans="1:3">
      <c r="A95" s="99" t="s">
        <v>350</v>
      </c>
      <c r="B95" s="99" t="s">
        <v>349</v>
      </c>
      <c r="C95" s="99" t="s">
        <v>84</v>
      </c>
    </row>
    <row r="96" spans="1:3">
      <c r="A96" s="99" t="s">
        <v>549</v>
      </c>
      <c r="B96" s="99" t="s">
        <v>548</v>
      </c>
      <c r="C96" s="99" t="s">
        <v>259</v>
      </c>
    </row>
    <row r="97" spans="1:3">
      <c r="A97" s="99" t="s">
        <v>351</v>
      </c>
      <c r="B97" s="99" t="s">
        <v>270</v>
      </c>
      <c r="C97" s="99" t="s">
        <v>171</v>
      </c>
    </row>
    <row r="98" spans="1:3">
      <c r="A98" s="99" t="s">
        <v>278</v>
      </c>
      <c r="B98" s="99" t="s">
        <v>279</v>
      </c>
      <c r="C98" s="99" t="s">
        <v>99</v>
      </c>
    </row>
    <row r="99" spans="1:3">
      <c r="A99" s="99" t="s">
        <v>574</v>
      </c>
      <c r="B99" s="99" t="s">
        <v>573</v>
      </c>
      <c r="C99" s="99" t="s">
        <v>176</v>
      </c>
    </row>
    <row r="100" spans="1:3">
      <c r="A100" s="99" t="s">
        <v>360</v>
      </c>
      <c r="B100" s="99" t="s">
        <v>359</v>
      </c>
      <c r="C100" s="99" t="s">
        <v>84</v>
      </c>
    </row>
    <row r="101" spans="1:3">
      <c r="A101" s="99" t="s">
        <v>361</v>
      </c>
      <c r="B101" s="99" t="s">
        <v>227</v>
      </c>
      <c r="C101" s="99" t="s">
        <v>84</v>
      </c>
    </row>
    <row r="102" spans="1:3">
      <c r="A102" s="99" t="s">
        <v>364</v>
      </c>
      <c r="B102" s="99" t="s">
        <v>228</v>
      </c>
      <c r="C102" s="99" t="s">
        <v>99</v>
      </c>
    </row>
    <row r="103" spans="1:3">
      <c r="A103" s="99" t="s">
        <v>551</v>
      </c>
      <c r="B103" s="99" t="s">
        <v>550</v>
      </c>
      <c r="C103" s="99" t="s">
        <v>84</v>
      </c>
    </row>
    <row r="104" spans="1:3">
      <c r="A104" s="99" t="s">
        <v>365</v>
      </c>
      <c r="B104" s="99" t="s">
        <v>229</v>
      </c>
      <c r="C104" s="99" t="s">
        <v>87</v>
      </c>
    </row>
    <row r="105" spans="1:3">
      <c r="A105" s="99" t="s">
        <v>367</v>
      </c>
      <c r="B105" s="99" t="s">
        <v>366</v>
      </c>
      <c r="C105" s="99" t="s">
        <v>106</v>
      </c>
    </row>
    <row r="106" spans="1:3">
      <c r="A106" s="99" t="s">
        <v>369</v>
      </c>
      <c r="B106" s="99" t="s">
        <v>368</v>
      </c>
      <c r="C106" s="99" t="s">
        <v>370</v>
      </c>
    </row>
    <row r="107" spans="1:3">
      <c r="A107" s="99" t="s">
        <v>213</v>
      </c>
      <c r="B107" s="99" t="s">
        <v>214</v>
      </c>
      <c r="C107" s="99" t="s">
        <v>1</v>
      </c>
    </row>
    <row r="108" spans="1:3">
      <c r="A108" s="99" t="s">
        <v>476</v>
      </c>
      <c r="B108" s="99" t="s">
        <v>475</v>
      </c>
      <c r="C108" s="99" t="s">
        <v>619</v>
      </c>
    </row>
    <row r="109" spans="1:3">
      <c r="A109" s="99" t="s">
        <v>621</v>
      </c>
      <c r="B109" s="99" t="s">
        <v>620</v>
      </c>
      <c r="C109" s="99" t="s">
        <v>84</v>
      </c>
    </row>
    <row r="110" spans="1:3">
      <c r="A110" s="99" t="s">
        <v>376</v>
      </c>
      <c r="B110" s="99" t="s">
        <v>375</v>
      </c>
      <c r="C110" s="99" t="s">
        <v>479</v>
      </c>
    </row>
    <row r="111" spans="1:3">
      <c r="A111" s="99" t="s">
        <v>378</v>
      </c>
      <c r="B111" s="99" t="s">
        <v>377</v>
      </c>
      <c r="C111" s="99" t="s">
        <v>84</v>
      </c>
    </row>
    <row r="112" spans="1:3">
      <c r="A112" s="99" t="s">
        <v>379</v>
      </c>
      <c r="B112" s="99" t="s">
        <v>876</v>
      </c>
      <c r="C112" s="99" t="s">
        <v>401</v>
      </c>
    </row>
    <row r="113" spans="1:4">
      <c r="A113" s="99" t="s">
        <v>380</v>
      </c>
      <c r="B113" s="99" t="s">
        <v>877</v>
      </c>
      <c r="C113" s="99" t="s">
        <v>479</v>
      </c>
    </row>
    <row r="114" spans="1:4">
      <c r="A114" s="99" t="s">
        <v>382</v>
      </c>
      <c r="B114" s="99" t="s">
        <v>381</v>
      </c>
      <c r="C114" s="99" t="s">
        <v>401</v>
      </c>
    </row>
    <row r="115" spans="1:4">
      <c r="A115" s="99" t="s">
        <v>576</v>
      </c>
      <c r="B115" s="99" t="s">
        <v>575</v>
      </c>
      <c r="C115" s="99" t="s">
        <v>84</v>
      </c>
    </row>
    <row r="116" spans="1:4">
      <c r="A116" s="99"/>
      <c r="B116" s="99" t="s">
        <v>667</v>
      </c>
      <c r="C116" s="99" t="s">
        <v>153</v>
      </c>
    </row>
    <row r="117" spans="1:4">
      <c r="A117" s="99" t="s">
        <v>552</v>
      </c>
      <c r="B117" s="99" t="s">
        <v>553</v>
      </c>
      <c r="C117" s="99" t="s">
        <v>1055</v>
      </c>
    </row>
    <row r="118" spans="1:4">
      <c r="A118" s="99" t="s">
        <v>383</v>
      </c>
      <c r="B118" s="99" t="s">
        <v>230</v>
      </c>
      <c r="C118" s="99" t="s">
        <v>87</v>
      </c>
    </row>
    <row r="119" spans="1:4">
      <c r="A119" s="99" t="s">
        <v>384</v>
      </c>
      <c r="B119" s="99" t="s">
        <v>385</v>
      </c>
      <c r="C119" s="99" t="s">
        <v>135</v>
      </c>
    </row>
    <row r="120" spans="1:4">
      <c r="A120" s="99"/>
      <c r="B120" s="99" t="s">
        <v>1068</v>
      </c>
      <c r="C120" s="99" t="s">
        <v>84</v>
      </c>
      <c r="D120" s="17" t="s">
        <v>1069</v>
      </c>
    </row>
    <row r="121" spans="1:4">
      <c r="A121" s="99" t="s">
        <v>388</v>
      </c>
      <c r="B121" s="99" t="s">
        <v>389</v>
      </c>
      <c r="C121" s="99" t="s">
        <v>81</v>
      </c>
    </row>
    <row r="122" spans="1:4">
      <c r="A122" s="99" t="s">
        <v>390</v>
      </c>
      <c r="B122" s="99" t="s">
        <v>391</v>
      </c>
      <c r="C122" s="99" t="s">
        <v>158</v>
      </c>
    </row>
    <row r="123" spans="1:4">
      <c r="A123" s="99" t="s">
        <v>392</v>
      </c>
      <c r="B123" s="99" t="s">
        <v>393</v>
      </c>
      <c r="C123" s="99" t="s">
        <v>269</v>
      </c>
    </row>
    <row r="124" spans="1:4">
      <c r="A124" s="99"/>
      <c r="B124" s="99"/>
      <c r="C124" s="99"/>
    </row>
    <row r="125" spans="1:4">
      <c r="A125" s="99"/>
      <c r="B125" s="99"/>
      <c r="C125" s="99"/>
    </row>
    <row r="126" spans="1:4">
      <c r="A126" s="99"/>
      <c r="B126" s="99"/>
      <c r="C126" s="99"/>
    </row>
    <row r="127" spans="1:4">
      <c r="A127" s="99"/>
      <c r="B127" s="99"/>
      <c r="C127" s="99"/>
    </row>
    <row r="128" spans="1:4">
      <c r="A128" s="99"/>
      <c r="B128" s="99"/>
      <c r="C128" s="99"/>
    </row>
    <row r="129" spans="1:3">
      <c r="A129" s="99"/>
      <c r="B129" s="99"/>
      <c r="C129" s="99"/>
    </row>
    <row r="130" spans="1:3">
      <c r="A130" s="99"/>
      <c r="B130" s="99"/>
      <c r="C130" s="99"/>
    </row>
    <row r="131" spans="1:3">
      <c r="A131" s="99"/>
      <c r="B131" s="99"/>
      <c r="C131" s="99"/>
    </row>
    <row r="132" spans="1:3">
      <c r="A132" s="99"/>
      <c r="B132" s="99"/>
      <c r="C132" s="99"/>
    </row>
    <row r="133" spans="1:3">
      <c r="A133" s="99"/>
      <c r="B133" s="99"/>
      <c r="C133" s="99"/>
    </row>
    <row r="134" spans="1:3">
      <c r="A134" s="99"/>
      <c r="B134" s="99"/>
      <c r="C134" s="99"/>
    </row>
    <row r="135" spans="1:3">
      <c r="A135" s="99"/>
      <c r="B135" s="99"/>
      <c r="C135" s="99"/>
    </row>
    <row r="136" spans="1:3">
      <c r="A136" s="99"/>
      <c r="B136" s="99"/>
      <c r="C136" s="99"/>
    </row>
    <row r="137" spans="1:3">
      <c r="A137" s="99"/>
      <c r="B137" s="99"/>
      <c r="C137" s="99"/>
    </row>
    <row r="138" spans="1:3">
      <c r="A138" s="99"/>
      <c r="B138" s="99"/>
      <c r="C138" s="99"/>
    </row>
    <row r="139" spans="1:3">
      <c r="A139" s="99"/>
      <c r="B139" s="99"/>
      <c r="C139" s="99"/>
    </row>
    <row r="140" spans="1:3">
      <c r="A140" s="99"/>
      <c r="B140" s="99"/>
      <c r="C140" s="99"/>
    </row>
    <row r="141" spans="1:3">
      <c r="A141" s="99"/>
      <c r="B141" s="99"/>
      <c r="C141" s="99"/>
    </row>
    <row r="142" spans="1:3">
      <c r="A142" s="99"/>
      <c r="B142" s="99"/>
      <c r="C142" s="99"/>
    </row>
    <row r="143" spans="1:3">
      <c r="A143" s="99"/>
      <c r="B143" s="99"/>
      <c r="C143" s="99"/>
    </row>
    <row r="144" spans="1:3">
      <c r="A144" s="99"/>
      <c r="B144" s="99"/>
      <c r="C144" s="99"/>
    </row>
    <row r="145" spans="1:3">
      <c r="A145" s="99"/>
      <c r="B145" s="99"/>
      <c r="C145" s="99"/>
    </row>
    <row r="146" spans="1:3">
      <c r="A146" s="99"/>
      <c r="B146" s="99"/>
      <c r="C146" s="99"/>
    </row>
    <row r="147" spans="1:3">
      <c r="A147" s="99"/>
      <c r="B147" s="99"/>
      <c r="C147" s="99"/>
    </row>
    <row r="148" spans="1:3">
      <c r="A148" s="99"/>
      <c r="B148" s="99"/>
      <c r="C148" s="99"/>
    </row>
    <row r="149" spans="1:3">
      <c r="A149" s="99"/>
      <c r="B149" s="99"/>
      <c r="C149" s="99"/>
    </row>
    <row r="150" spans="1:3">
      <c r="A150" s="99"/>
      <c r="B150" s="99"/>
      <c r="C150" s="99"/>
    </row>
    <row r="151" spans="1:3">
      <c r="A151" s="99"/>
      <c r="B151" s="99"/>
      <c r="C151" s="99"/>
    </row>
    <row r="152" spans="1:3">
      <c r="A152" s="99"/>
      <c r="B152" s="99"/>
      <c r="C152" s="99"/>
    </row>
    <row r="153" spans="1:3">
      <c r="A153" s="99"/>
      <c r="B153" s="99"/>
      <c r="C153" s="99"/>
    </row>
    <row r="154" spans="1:3">
      <c r="A154" s="99"/>
      <c r="B154" s="99"/>
      <c r="C154" s="99"/>
    </row>
    <row r="155" spans="1:3">
      <c r="A155" s="99"/>
      <c r="B155" s="99"/>
      <c r="C155" s="99"/>
    </row>
    <row r="156" spans="1:3">
      <c r="A156" s="99"/>
      <c r="B156" s="99"/>
      <c r="C156" s="99"/>
    </row>
    <row r="157" spans="1:3">
      <c r="A157" s="99"/>
      <c r="B157" s="99"/>
      <c r="C157" s="99"/>
    </row>
    <row r="158" spans="1:3">
      <c r="A158" s="99"/>
      <c r="B158" s="99"/>
      <c r="C158" s="99"/>
    </row>
    <row r="159" spans="1:3">
      <c r="A159" s="99"/>
      <c r="B159" s="99"/>
      <c r="C159" s="99"/>
    </row>
    <row r="160" spans="1:3">
      <c r="A160" s="99"/>
      <c r="B160" s="99"/>
      <c r="C160" s="99"/>
    </row>
    <row r="161" spans="1:3">
      <c r="A161" s="99"/>
      <c r="B161" s="99"/>
      <c r="C161" s="99"/>
    </row>
    <row r="162" spans="1:3">
      <c r="A162" s="99"/>
      <c r="B162" s="99"/>
      <c r="C162" s="99"/>
    </row>
    <row r="163" spans="1:3">
      <c r="A163" s="99"/>
      <c r="B163" s="99"/>
      <c r="C163" s="99"/>
    </row>
    <row r="164" spans="1:3">
      <c r="A164" s="99"/>
      <c r="B164" s="99"/>
      <c r="C164" s="99"/>
    </row>
    <row r="165" spans="1:3">
      <c r="A165" s="99"/>
      <c r="B165" s="99"/>
      <c r="C165" s="99"/>
    </row>
    <row r="166" spans="1:3">
      <c r="A166" s="99"/>
      <c r="B166" s="99"/>
      <c r="C166" s="99"/>
    </row>
    <row r="167" spans="1:3">
      <c r="A167" s="99"/>
      <c r="B167" s="99"/>
      <c r="C167" s="99"/>
    </row>
    <row r="168" spans="1:3">
      <c r="A168" s="99"/>
      <c r="B168" s="99"/>
      <c r="C168" s="99"/>
    </row>
    <row r="169" spans="1:3">
      <c r="A169" s="99"/>
      <c r="B169" s="99"/>
      <c r="C169" s="99"/>
    </row>
    <row r="170" spans="1:3">
      <c r="A170" s="99"/>
      <c r="B170" s="99"/>
      <c r="C170" s="99"/>
    </row>
    <row r="171" spans="1:3">
      <c r="A171" s="99"/>
      <c r="B171" s="99"/>
      <c r="C171" s="99"/>
    </row>
    <row r="172" spans="1:3">
      <c r="A172" s="99"/>
      <c r="B172" s="99"/>
      <c r="C172" s="99"/>
    </row>
    <row r="173" spans="1:3">
      <c r="A173" s="99"/>
      <c r="B173" s="99"/>
      <c r="C173" s="99"/>
    </row>
    <row r="174" spans="1:3">
      <c r="A174" s="99"/>
      <c r="B174" s="99"/>
      <c r="C174" s="99"/>
    </row>
    <row r="175" spans="1:3">
      <c r="A175" s="99"/>
      <c r="B175" s="99"/>
      <c r="C175" s="99"/>
    </row>
    <row r="176" spans="1:3">
      <c r="A176" s="99"/>
      <c r="B176" s="99"/>
      <c r="C176" s="99"/>
    </row>
    <row r="177" spans="1:3">
      <c r="A177" s="99"/>
      <c r="B177" s="99"/>
      <c r="C177" s="99"/>
    </row>
    <row r="178" spans="1:3">
      <c r="A178" s="99"/>
      <c r="B178" s="99"/>
      <c r="C178" s="99"/>
    </row>
    <row r="179" spans="1:3">
      <c r="A179" s="99"/>
      <c r="B179" s="99"/>
      <c r="C179" s="99"/>
    </row>
    <row r="180" spans="1:3">
      <c r="A180" s="99"/>
    </row>
    <row r="181" spans="1:3">
      <c r="A181" s="99"/>
    </row>
    <row r="182" spans="1:3">
      <c r="A182" s="99"/>
    </row>
    <row r="183" spans="1:3">
      <c r="A183" s="99"/>
    </row>
    <row r="184" spans="1:3">
      <c r="A184" s="99"/>
    </row>
    <row r="185" spans="1:3">
      <c r="A185" s="99"/>
    </row>
    <row r="186" spans="1:3">
      <c r="A186" s="99"/>
    </row>
    <row r="187" spans="1:3">
      <c r="A187" s="99"/>
    </row>
    <row r="188" spans="1:3">
      <c r="A188" s="99"/>
    </row>
    <row r="189" spans="1:3">
      <c r="A189" s="99"/>
    </row>
    <row r="190" spans="1:3">
      <c r="A190" s="99"/>
    </row>
    <row r="191" spans="1:3">
      <c r="A191" s="99"/>
    </row>
    <row r="192" spans="1:3">
      <c r="A192" s="99"/>
    </row>
    <row r="193" spans="1:1">
      <c r="A193" s="99"/>
    </row>
    <row r="194" spans="1:1">
      <c r="A194" s="99"/>
    </row>
    <row r="195" spans="1:1">
      <c r="A195" s="99"/>
    </row>
    <row r="196" spans="1:1">
      <c r="A196" s="99"/>
    </row>
    <row r="197" spans="1:1">
      <c r="A197" s="99"/>
    </row>
    <row r="198" spans="1:1">
      <c r="A198" s="99"/>
    </row>
    <row r="199" spans="1:1">
      <c r="A199" s="99"/>
    </row>
    <row r="200" spans="1:1">
      <c r="A200" s="99"/>
    </row>
    <row r="201" spans="1:1">
      <c r="A201" s="99"/>
    </row>
    <row r="202" spans="1:1">
      <c r="A202" s="99"/>
    </row>
    <row r="203" spans="1:1">
      <c r="A203" s="99"/>
    </row>
    <row r="204" spans="1:1">
      <c r="A204" s="99"/>
    </row>
    <row r="205" spans="1:1">
      <c r="A205" s="99"/>
    </row>
    <row r="206" spans="1:1">
      <c r="A206" s="99"/>
    </row>
    <row r="207" spans="1:1">
      <c r="A207" s="99"/>
    </row>
    <row r="208" spans="1:1">
      <c r="A208" s="99"/>
    </row>
    <row r="209" spans="1:1">
      <c r="A209" s="99"/>
    </row>
    <row r="210" spans="1:1">
      <c r="A210" s="99"/>
    </row>
    <row r="211" spans="1:1">
      <c r="A211" s="99"/>
    </row>
    <row r="212" spans="1:1">
      <c r="A212" s="99"/>
    </row>
    <row r="213" spans="1:1">
      <c r="A213" s="99"/>
    </row>
    <row r="214" spans="1:1">
      <c r="A214" s="99"/>
    </row>
    <row r="215" spans="1:1">
      <c r="A215" s="99"/>
    </row>
    <row r="216" spans="1:1">
      <c r="A216" s="99"/>
    </row>
    <row r="217" spans="1:1">
      <c r="A217" s="99"/>
    </row>
    <row r="218" spans="1:1">
      <c r="A218" s="99"/>
    </row>
    <row r="219" spans="1:1">
      <c r="A219" s="99"/>
    </row>
    <row r="220" spans="1:1">
      <c r="A220" s="99"/>
    </row>
    <row r="221" spans="1:1">
      <c r="A221" s="99"/>
    </row>
    <row r="222" spans="1:1">
      <c r="A222" s="99"/>
    </row>
    <row r="223" spans="1:1">
      <c r="A223" s="99"/>
    </row>
    <row r="224" spans="1:1">
      <c r="A224" s="99"/>
    </row>
    <row r="225" spans="1:1">
      <c r="A225" s="99"/>
    </row>
    <row r="226" spans="1:1">
      <c r="A226" s="99"/>
    </row>
    <row r="227" spans="1:1">
      <c r="A227" s="99"/>
    </row>
    <row r="228" spans="1:1">
      <c r="A228" s="99"/>
    </row>
    <row r="229" spans="1:1">
      <c r="A229" s="99"/>
    </row>
    <row r="230" spans="1:1">
      <c r="A230" s="99"/>
    </row>
    <row r="231" spans="1:1">
      <c r="A231" s="99"/>
    </row>
    <row r="232" spans="1:1">
      <c r="A232" s="99"/>
    </row>
    <row r="233" spans="1:1">
      <c r="A233" s="99"/>
    </row>
    <row r="234" spans="1:1">
      <c r="A234" s="99"/>
    </row>
    <row r="235" spans="1:1">
      <c r="A235" s="99"/>
    </row>
    <row r="236" spans="1:1">
      <c r="A236" s="99"/>
    </row>
    <row r="237" spans="1:1">
      <c r="A237" s="99"/>
    </row>
    <row r="238" spans="1:1">
      <c r="A238" s="99"/>
    </row>
    <row r="239" spans="1:1">
      <c r="A239" s="99"/>
    </row>
    <row r="240" spans="1:1">
      <c r="A240" s="99"/>
    </row>
    <row r="241" spans="1:1">
      <c r="A241" s="99"/>
    </row>
    <row r="242" spans="1:1">
      <c r="A242" s="99"/>
    </row>
    <row r="243" spans="1:1">
      <c r="A243" s="99"/>
    </row>
    <row r="244" spans="1:1">
      <c r="A244" s="99"/>
    </row>
    <row r="245" spans="1:1">
      <c r="A245" s="99"/>
    </row>
    <row r="246" spans="1:1">
      <c r="A246" s="99"/>
    </row>
    <row r="247" spans="1:1">
      <c r="A247" s="99"/>
    </row>
    <row r="248" spans="1:1">
      <c r="A248" s="99"/>
    </row>
    <row r="249" spans="1:1">
      <c r="A249" s="99"/>
    </row>
    <row r="250" spans="1:1">
      <c r="A250" s="99"/>
    </row>
    <row r="251" spans="1:1">
      <c r="A251" s="99"/>
    </row>
    <row r="252" spans="1:1">
      <c r="A252" s="99"/>
    </row>
    <row r="253" spans="1:1">
      <c r="A253" s="99"/>
    </row>
    <row r="254" spans="1:1">
      <c r="A254" s="99"/>
    </row>
    <row r="255" spans="1:1">
      <c r="A255" s="99"/>
    </row>
    <row r="256" spans="1:1">
      <c r="A256" s="99"/>
    </row>
    <row r="257" spans="1:1">
      <c r="A257" s="99"/>
    </row>
    <row r="258" spans="1:1">
      <c r="A258" s="99"/>
    </row>
    <row r="259" spans="1:1">
      <c r="A259" s="99"/>
    </row>
    <row r="260" spans="1:1">
      <c r="A260" s="99"/>
    </row>
    <row r="261" spans="1:1">
      <c r="A261" s="99"/>
    </row>
    <row r="262" spans="1:1">
      <c r="A262" s="99"/>
    </row>
    <row r="263" spans="1:1">
      <c r="A263" s="99"/>
    </row>
    <row r="264" spans="1:1">
      <c r="A264" s="99"/>
    </row>
    <row r="265" spans="1:1">
      <c r="A265" s="99"/>
    </row>
    <row r="266" spans="1:1">
      <c r="A266" s="99"/>
    </row>
    <row r="267" spans="1:1">
      <c r="A267" s="99"/>
    </row>
    <row r="268" spans="1:1">
      <c r="A268" s="99"/>
    </row>
    <row r="269" spans="1:1">
      <c r="A269" s="99"/>
    </row>
    <row r="270" spans="1:1">
      <c r="A270" s="99"/>
    </row>
    <row r="271" spans="1:1">
      <c r="A271" s="99"/>
    </row>
    <row r="272" spans="1:1">
      <c r="A272" s="99"/>
    </row>
    <row r="273" spans="1:1">
      <c r="A273" s="99"/>
    </row>
    <row r="274" spans="1:1">
      <c r="A274" s="99"/>
    </row>
    <row r="275" spans="1:1">
      <c r="A275" s="99"/>
    </row>
    <row r="276" spans="1:1">
      <c r="A276" s="99"/>
    </row>
    <row r="277" spans="1:1">
      <c r="A277" s="99"/>
    </row>
    <row r="278" spans="1:1">
      <c r="A278" s="99"/>
    </row>
    <row r="279" spans="1:1">
      <c r="A279" s="99"/>
    </row>
    <row r="280" spans="1:1">
      <c r="A280" s="99"/>
    </row>
    <row r="281" spans="1:1">
      <c r="A281" s="99"/>
    </row>
    <row r="282" spans="1:1">
      <c r="A282" s="99"/>
    </row>
    <row r="283" spans="1:1">
      <c r="A283" s="99"/>
    </row>
    <row r="284" spans="1:1">
      <c r="A284" s="99"/>
    </row>
    <row r="285" spans="1:1">
      <c r="A285" s="99"/>
    </row>
    <row r="286" spans="1:1">
      <c r="A286" s="99"/>
    </row>
    <row r="287" spans="1:1">
      <c r="A287" s="99"/>
    </row>
    <row r="288" spans="1:1">
      <c r="A288" s="99"/>
    </row>
    <row r="289" spans="1:1">
      <c r="A289" s="99"/>
    </row>
    <row r="290" spans="1:1">
      <c r="A290" s="99"/>
    </row>
    <row r="291" spans="1:1">
      <c r="A291" s="99"/>
    </row>
    <row r="292" spans="1:1">
      <c r="A292" s="99"/>
    </row>
    <row r="293" spans="1:1">
      <c r="A293" s="99"/>
    </row>
    <row r="294" spans="1:1">
      <c r="A294" s="99"/>
    </row>
    <row r="295" spans="1:1">
      <c r="A295" s="99"/>
    </row>
    <row r="296" spans="1:1">
      <c r="A296" s="99"/>
    </row>
    <row r="297" spans="1:1">
      <c r="A297" s="99"/>
    </row>
    <row r="298" spans="1:1">
      <c r="A298" s="99"/>
    </row>
    <row r="299" spans="1:1">
      <c r="A299" s="99"/>
    </row>
    <row r="300" spans="1:1">
      <c r="A300" s="99"/>
    </row>
    <row r="301" spans="1:1">
      <c r="A301" s="99"/>
    </row>
    <row r="302" spans="1:1">
      <c r="A302" s="99"/>
    </row>
    <row r="303" spans="1:1">
      <c r="A303" s="99"/>
    </row>
    <row r="304" spans="1:1">
      <c r="A304" s="99"/>
    </row>
    <row r="305" spans="1:1">
      <c r="A305" s="99"/>
    </row>
    <row r="306" spans="1:1">
      <c r="A306" s="99"/>
    </row>
    <row r="307" spans="1:1">
      <c r="A307" s="99"/>
    </row>
    <row r="308" spans="1:1">
      <c r="A308" s="99"/>
    </row>
    <row r="309" spans="1:1">
      <c r="A309" s="99"/>
    </row>
    <row r="310" spans="1:1">
      <c r="A310" s="99"/>
    </row>
    <row r="311" spans="1:1">
      <c r="A311" s="99"/>
    </row>
    <row r="312" spans="1:1">
      <c r="A312" s="99"/>
    </row>
    <row r="313" spans="1:1">
      <c r="A313" s="99"/>
    </row>
    <row r="314" spans="1:1">
      <c r="A314" s="99"/>
    </row>
    <row r="315" spans="1:1">
      <c r="A315" s="99"/>
    </row>
    <row r="316" spans="1:1">
      <c r="A316" s="99"/>
    </row>
    <row r="317" spans="1:1">
      <c r="A317" s="99"/>
    </row>
    <row r="318" spans="1:1">
      <c r="A318" s="99"/>
    </row>
    <row r="319" spans="1:1">
      <c r="A319" s="99"/>
    </row>
    <row r="320" spans="1:1">
      <c r="A320" s="99"/>
    </row>
    <row r="321" spans="1:1">
      <c r="A321" s="99"/>
    </row>
    <row r="322" spans="1:1">
      <c r="A322" s="99"/>
    </row>
    <row r="323" spans="1:1">
      <c r="A323" s="99"/>
    </row>
    <row r="324" spans="1:1">
      <c r="A324" s="99"/>
    </row>
    <row r="325" spans="1:1">
      <c r="A325" s="99"/>
    </row>
    <row r="326" spans="1:1">
      <c r="A326" s="99"/>
    </row>
    <row r="327" spans="1:1">
      <c r="A327" s="99"/>
    </row>
    <row r="328" spans="1:1">
      <c r="A328" s="99"/>
    </row>
    <row r="329" spans="1:1">
      <c r="A329" s="99"/>
    </row>
    <row r="330" spans="1:1">
      <c r="A330" s="99"/>
    </row>
    <row r="331" spans="1:1">
      <c r="A331" s="99"/>
    </row>
    <row r="332" spans="1:1">
      <c r="A332" s="99"/>
    </row>
    <row r="333" spans="1:1">
      <c r="A333" s="99"/>
    </row>
    <row r="334" spans="1:1">
      <c r="A334" s="99"/>
    </row>
    <row r="335" spans="1:1">
      <c r="A335" s="99"/>
    </row>
    <row r="336" spans="1:1">
      <c r="A336" s="99"/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  <row r="1001" spans="1:1">
      <c r="A1001" s="99"/>
    </row>
    <row r="1002" spans="1:1">
      <c r="A1002" s="99"/>
    </row>
    <row r="1003" spans="1:1">
      <c r="A1003" s="99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11" spans="1:1">
      <c r="A1011" s="99"/>
    </row>
    <row r="1012" spans="1:1">
      <c r="A1012" s="99"/>
    </row>
    <row r="1013" spans="1:1">
      <c r="A1013" s="99"/>
    </row>
    <row r="1014" spans="1:1">
      <c r="A1014" s="99"/>
    </row>
    <row r="1015" spans="1:1">
      <c r="A1015" s="99"/>
    </row>
    <row r="1016" spans="1:1">
      <c r="A1016" s="99"/>
    </row>
    <row r="1017" spans="1:1">
      <c r="A1017" s="99"/>
    </row>
    <row r="1018" spans="1:1">
      <c r="A1018" s="99"/>
    </row>
    <row r="1019" spans="1:1">
      <c r="A1019" s="99"/>
    </row>
    <row r="1020" spans="1:1">
      <c r="A1020" s="99"/>
    </row>
    <row r="1021" spans="1:1">
      <c r="A1021" s="99"/>
    </row>
    <row r="1022" spans="1:1">
      <c r="A1022" s="99"/>
    </row>
    <row r="1023" spans="1:1">
      <c r="A1023" s="99"/>
    </row>
    <row r="1024" spans="1:1">
      <c r="A1024" s="99"/>
    </row>
    <row r="1025" spans="1:1">
      <c r="A1025" s="99"/>
    </row>
    <row r="1026" spans="1:1">
      <c r="A1026" s="99"/>
    </row>
    <row r="1027" spans="1:1">
      <c r="A1027" s="99"/>
    </row>
    <row r="1028" spans="1:1">
      <c r="A1028" s="99"/>
    </row>
    <row r="1029" spans="1:1">
      <c r="A1029" s="99"/>
    </row>
    <row r="1030" spans="1:1">
      <c r="A1030" s="99"/>
    </row>
    <row r="1031" spans="1:1">
      <c r="A1031" s="99"/>
    </row>
    <row r="1032" spans="1:1">
      <c r="A1032" s="99"/>
    </row>
    <row r="1033" spans="1:1">
      <c r="A1033" s="99"/>
    </row>
    <row r="1034" spans="1:1">
      <c r="A1034" s="99"/>
    </row>
    <row r="1035" spans="1:1">
      <c r="A1035" s="99"/>
    </row>
    <row r="1036" spans="1:1">
      <c r="A1036" s="99"/>
    </row>
    <row r="1037" spans="1:1">
      <c r="A1037" s="99"/>
    </row>
    <row r="1038" spans="1:1">
      <c r="A1038" s="99"/>
    </row>
    <row r="1039" spans="1:1">
      <c r="A1039" s="99"/>
    </row>
    <row r="1040" spans="1:1">
      <c r="A1040" s="99"/>
    </row>
    <row r="1041" spans="1:1">
      <c r="A1041" s="99"/>
    </row>
    <row r="1042" spans="1:1">
      <c r="A1042" s="99"/>
    </row>
    <row r="1043" spans="1:1">
      <c r="A1043" s="99"/>
    </row>
    <row r="1044" spans="1:1">
      <c r="A1044" s="99"/>
    </row>
    <row r="1045" spans="1:1">
      <c r="A1045" s="99"/>
    </row>
    <row r="1046" spans="1:1">
      <c r="A1046" s="99"/>
    </row>
    <row r="1047" spans="1:1">
      <c r="A1047" s="99"/>
    </row>
    <row r="1048" spans="1:1">
      <c r="A1048" s="99"/>
    </row>
    <row r="1049" spans="1:1">
      <c r="A1049" s="99"/>
    </row>
    <row r="1050" spans="1:1">
      <c r="A1050" s="99"/>
    </row>
    <row r="1051" spans="1:1">
      <c r="A1051" s="99"/>
    </row>
    <row r="1052" spans="1:1">
      <c r="A1052" s="99"/>
    </row>
    <row r="1053" spans="1:1">
      <c r="A1053" s="99"/>
    </row>
    <row r="1054" spans="1:1">
      <c r="A1054" s="99"/>
    </row>
    <row r="1055" spans="1:1">
      <c r="A1055" s="99"/>
    </row>
    <row r="1056" spans="1:1">
      <c r="A1056" s="99"/>
    </row>
    <row r="1057" spans="1:1">
      <c r="A1057" s="99"/>
    </row>
    <row r="1058" spans="1:1">
      <c r="A1058" s="99"/>
    </row>
    <row r="1059" spans="1:1">
      <c r="A1059" s="99"/>
    </row>
    <row r="1060" spans="1:1">
      <c r="A1060" s="99"/>
    </row>
    <row r="1061" spans="1:1">
      <c r="A1061" s="99"/>
    </row>
    <row r="1062" spans="1:1">
      <c r="A1062" s="99"/>
    </row>
    <row r="1063" spans="1:1">
      <c r="A1063" s="99"/>
    </row>
    <row r="1064" spans="1:1">
      <c r="A1064" s="99"/>
    </row>
    <row r="1065" spans="1:1">
      <c r="A1065" s="99"/>
    </row>
    <row r="1066" spans="1:1">
      <c r="A1066" s="99"/>
    </row>
    <row r="1067" spans="1:1">
      <c r="A1067" s="99"/>
    </row>
    <row r="1068" spans="1:1">
      <c r="A1068" s="99"/>
    </row>
    <row r="1069" spans="1:1">
      <c r="A1069" s="99"/>
    </row>
    <row r="1070" spans="1:1">
      <c r="A1070" s="99"/>
    </row>
    <row r="1071" spans="1:1">
      <c r="A1071" s="99"/>
    </row>
    <row r="1072" spans="1:1">
      <c r="A1072" s="99"/>
    </row>
    <row r="1073" spans="1:1">
      <c r="A1073" s="99"/>
    </row>
    <row r="1074" spans="1:1">
      <c r="A1074" s="99"/>
    </row>
    <row r="1075" spans="1:1">
      <c r="A1075" s="99"/>
    </row>
    <row r="1076" spans="1:1">
      <c r="A1076" s="99"/>
    </row>
    <row r="1077" spans="1:1">
      <c r="A1077" s="99"/>
    </row>
    <row r="1078" spans="1:1">
      <c r="A1078" s="99"/>
    </row>
    <row r="1079" spans="1:1">
      <c r="A1079" s="99"/>
    </row>
    <row r="1080" spans="1:1">
      <c r="A1080" s="99"/>
    </row>
    <row r="1081" spans="1:1">
      <c r="A1081" s="99"/>
    </row>
    <row r="1082" spans="1:1">
      <c r="A1082" s="99"/>
    </row>
    <row r="1083" spans="1:1">
      <c r="A1083" s="99"/>
    </row>
    <row r="1084" spans="1:1">
      <c r="A1084" s="99"/>
    </row>
    <row r="1085" spans="1:1">
      <c r="A1085" s="99"/>
    </row>
    <row r="1086" spans="1:1">
      <c r="A1086" s="99"/>
    </row>
    <row r="1087" spans="1:1">
      <c r="A1087" s="99"/>
    </row>
    <row r="1088" spans="1:1">
      <c r="A1088" s="99"/>
    </row>
    <row r="1089" spans="1:1">
      <c r="A1089" s="99"/>
    </row>
    <row r="1090" spans="1:1">
      <c r="A1090" s="99"/>
    </row>
    <row r="1091" spans="1:1">
      <c r="A1091" s="99"/>
    </row>
    <row r="1092" spans="1:1">
      <c r="A1092" s="99"/>
    </row>
    <row r="1093" spans="1:1">
      <c r="A1093" s="99"/>
    </row>
    <row r="1094" spans="1:1">
      <c r="A1094" s="99"/>
    </row>
    <row r="1095" spans="1:1">
      <c r="A1095" s="99"/>
    </row>
    <row r="1096" spans="1:1">
      <c r="A1096" s="99"/>
    </row>
    <row r="1097" spans="1:1">
      <c r="A1097" s="99"/>
    </row>
    <row r="1098" spans="1:1">
      <c r="A1098" s="99"/>
    </row>
    <row r="1099" spans="1:1">
      <c r="A1099" s="99"/>
    </row>
    <row r="1100" spans="1:1">
      <c r="A1100" s="99"/>
    </row>
    <row r="1101" spans="1:1">
      <c r="A1101" s="99"/>
    </row>
    <row r="1102" spans="1:1">
      <c r="A1102" s="99"/>
    </row>
    <row r="1103" spans="1:1">
      <c r="A1103" s="99"/>
    </row>
    <row r="1104" spans="1:1">
      <c r="A1104" s="99"/>
    </row>
    <row r="1105" spans="1:1">
      <c r="A1105" s="99"/>
    </row>
    <row r="1106" spans="1:1">
      <c r="A1106" s="99"/>
    </row>
    <row r="1107" spans="1:1">
      <c r="A1107" s="99"/>
    </row>
    <row r="1108" spans="1:1">
      <c r="A1108" s="99"/>
    </row>
    <row r="1109" spans="1:1">
      <c r="A1109" s="99"/>
    </row>
    <row r="1110" spans="1:1">
      <c r="A1110" s="99"/>
    </row>
    <row r="1111" spans="1:1">
      <c r="A1111" s="99"/>
    </row>
    <row r="1112" spans="1:1">
      <c r="A1112" s="99"/>
    </row>
    <row r="1113" spans="1:1">
      <c r="A1113" s="99"/>
    </row>
    <row r="1114" spans="1:1">
      <c r="A1114" s="99"/>
    </row>
    <row r="1115" spans="1:1">
      <c r="A1115" s="99"/>
    </row>
    <row r="1116" spans="1:1">
      <c r="A1116" s="99"/>
    </row>
    <row r="1117" spans="1:1">
      <c r="A1117" s="99"/>
    </row>
    <row r="1118" spans="1:1">
      <c r="A1118" s="99"/>
    </row>
    <row r="1119" spans="1:1">
      <c r="A1119" s="99"/>
    </row>
    <row r="1120" spans="1:1">
      <c r="A1120" s="99"/>
    </row>
    <row r="1121" spans="1:1">
      <c r="A1121" s="99"/>
    </row>
    <row r="1122" spans="1:1">
      <c r="A1122" s="99"/>
    </row>
    <row r="1123" spans="1:1">
      <c r="A1123" s="99"/>
    </row>
    <row r="1124" spans="1:1">
      <c r="A1124" s="99"/>
    </row>
    <row r="1125" spans="1:1">
      <c r="A1125" s="99"/>
    </row>
    <row r="1126" spans="1:1">
      <c r="A1126" s="99"/>
    </row>
    <row r="1127" spans="1:1">
      <c r="A1127" s="99"/>
    </row>
    <row r="1128" spans="1:1">
      <c r="A1128" s="99"/>
    </row>
    <row r="1129" spans="1:1">
      <c r="A1129" s="99"/>
    </row>
    <row r="1130" spans="1:1">
      <c r="A1130" s="99"/>
    </row>
    <row r="1131" spans="1:1">
      <c r="A1131" s="99"/>
    </row>
    <row r="1132" spans="1:1">
      <c r="A1132" s="99"/>
    </row>
    <row r="1133" spans="1:1">
      <c r="A1133" s="99"/>
    </row>
    <row r="1134" spans="1:1">
      <c r="A1134" s="99"/>
    </row>
    <row r="1135" spans="1:1">
      <c r="A1135" s="99"/>
    </row>
    <row r="1136" spans="1:1">
      <c r="A1136" s="99"/>
    </row>
    <row r="1137" spans="1:1">
      <c r="A1137" s="99"/>
    </row>
    <row r="1138" spans="1:1">
      <c r="A1138" s="99"/>
    </row>
    <row r="1139" spans="1:1">
      <c r="A1139" s="99"/>
    </row>
    <row r="1140" spans="1:1">
      <c r="A1140" s="99"/>
    </row>
    <row r="1141" spans="1:1">
      <c r="A1141" s="99"/>
    </row>
    <row r="1142" spans="1:1">
      <c r="A1142" s="99"/>
    </row>
    <row r="1143" spans="1:1">
      <c r="A1143" s="99"/>
    </row>
    <row r="1144" spans="1:1">
      <c r="A1144" s="99"/>
    </row>
    <row r="1145" spans="1:1">
      <c r="A1145" s="99"/>
    </row>
    <row r="1146" spans="1:1">
      <c r="A1146" s="99"/>
    </row>
    <row r="1147" spans="1:1">
      <c r="A1147" s="99"/>
    </row>
    <row r="1148" spans="1:1">
      <c r="A1148" s="99"/>
    </row>
    <row r="1149" spans="1:1">
      <c r="A1149" s="99"/>
    </row>
    <row r="1150" spans="1:1">
      <c r="A1150" s="99"/>
    </row>
    <row r="1151" spans="1:1">
      <c r="A1151" s="99"/>
    </row>
    <row r="1152" spans="1:1">
      <c r="A1152" s="99"/>
    </row>
    <row r="1153" spans="1:1">
      <c r="A1153" s="99"/>
    </row>
    <row r="1154" spans="1:1">
      <c r="A1154" s="99"/>
    </row>
    <row r="1155" spans="1:1">
      <c r="A1155" s="99"/>
    </row>
    <row r="1156" spans="1:1">
      <c r="A1156" s="99"/>
    </row>
    <row r="1157" spans="1:1">
      <c r="A1157" s="99"/>
    </row>
    <row r="1158" spans="1:1">
      <c r="A1158" s="99"/>
    </row>
    <row r="1159" spans="1:1">
      <c r="A1159" s="99"/>
    </row>
    <row r="1160" spans="1:1">
      <c r="A1160" s="99"/>
    </row>
    <row r="1161" spans="1:1">
      <c r="A1161" s="99"/>
    </row>
    <row r="1162" spans="1:1">
      <c r="A1162" s="99"/>
    </row>
    <row r="1163" spans="1:1">
      <c r="A1163" s="99"/>
    </row>
    <row r="1164" spans="1:1">
      <c r="A1164" s="99"/>
    </row>
    <row r="1165" spans="1:1">
      <c r="A1165" s="99"/>
    </row>
    <row r="1166" spans="1:1">
      <c r="A1166" s="99"/>
    </row>
    <row r="1167" spans="1:1">
      <c r="A1167" s="99"/>
    </row>
    <row r="1168" spans="1:1">
      <c r="A1168" s="99"/>
    </row>
    <row r="1169" spans="1:1">
      <c r="A1169" s="99"/>
    </row>
    <row r="1170" spans="1:1">
      <c r="A1170" s="99"/>
    </row>
    <row r="1171" spans="1:1">
      <c r="A1171" s="99"/>
    </row>
    <row r="1172" spans="1:1">
      <c r="A1172" s="99"/>
    </row>
    <row r="1173" spans="1:1">
      <c r="A1173" s="99"/>
    </row>
    <row r="1174" spans="1:1">
      <c r="A1174" s="99"/>
    </row>
    <row r="1175" spans="1:1">
      <c r="A1175" s="99"/>
    </row>
    <row r="1176" spans="1:1">
      <c r="A1176" s="99"/>
    </row>
    <row r="1177" spans="1:1">
      <c r="A1177" s="99"/>
    </row>
    <row r="1178" spans="1:1">
      <c r="A1178" s="99"/>
    </row>
    <row r="1179" spans="1:1">
      <c r="A1179" s="99"/>
    </row>
    <row r="1180" spans="1:1">
      <c r="A1180" s="99"/>
    </row>
    <row r="1181" spans="1:1">
      <c r="A1181" s="99"/>
    </row>
    <row r="1182" spans="1:1">
      <c r="A1182" s="99"/>
    </row>
    <row r="1183" spans="1:1">
      <c r="A1183" s="99"/>
    </row>
    <row r="1184" spans="1:1">
      <c r="A1184" s="99"/>
    </row>
    <row r="1185" spans="1:1">
      <c r="A1185" s="99"/>
    </row>
    <row r="1186" spans="1:1">
      <c r="A1186" s="99"/>
    </row>
    <row r="1187" spans="1:1">
      <c r="A1187" s="99"/>
    </row>
    <row r="1188" spans="1:1">
      <c r="A1188" s="99"/>
    </row>
    <row r="1189" spans="1:1">
      <c r="A1189" s="99"/>
    </row>
    <row r="1190" spans="1:1">
      <c r="A1190" s="99"/>
    </row>
    <row r="1191" spans="1:1">
      <c r="A1191" s="99"/>
    </row>
    <row r="1192" spans="1:1">
      <c r="A1192" s="99"/>
    </row>
    <row r="1193" spans="1:1">
      <c r="A1193" s="99"/>
    </row>
    <row r="1194" spans="1:1">
      <c r="A1194" s="99"/>
    </row>
    <row r="1195" spans="1:1">
      <c r="A1195" s="99"/>
    </row>
    <row r="1196" spans="1:1">
      <c r="A1196" s="99"/>
    </row>
    <row r="1197" spans="1:1">
      <c r="A1197" s="99"/>
    </row>
    <row r="1198" spans="1:1">
      <c r="A1198" s="99"/>
    </row>
    <row r="1199" spans="1:1">
      <c r="A1199" s="99"/>
    </row>
    <row r="1200" spans="1:1">
      <c r="A1200" s="99"/>
    </row>
    <row r="1201" spans="1:1">
      <c r="A1201" s="99"/>
    </row>
    <row r="1202" spans="1:1">
      <c r="A1202" s="99"/>
    </row>
    <row r="1203" spans="1:1">
      <c r="A1203" s="99"/>
    </row>
    <row r="1204" spans="1:1">
      <c r="A1204" s="99"/>
    </row>
    <row r="1205" spans="1:1">
      <c r="A1205" s="99"/>
    </row>
    <row r="1206" spans="1:1">
      <c r="A1206" s="99"/>
    </row>
    <row r="1207" spans="1:1">
      <c r="A1207" s="99"/>
    </row>
    <row r="1208" spans="1:1">
      <c r="A1208" s="99"/>
    </row>
    <row r="1209" spans="1:1">
      <c r="A1209" s="99"/>
    </row>
    <row r="1210" spans="1:1">
      <c r="A1210" s="99"/>
    </row>
    <row r="1211" spans="1:1">
      <c r="A1211" s="99"/>
    </row>
    <row r="1212" spans="1:1">
      <c r="A1212" s="99"/>
    </row>
    <row r="1213" spans="1:1">
      <c r="A1213" s="99"/>
    </row>
    <row r="1214" spans="1:1">
      <c r="A1214" s="99"/>
    </row>
    <row r="1215" spans="1:1">
      <c r="A1215" s="99"/>
    </row>
    <row r="1216" spans="1:1">
      <c r="A1216" s="99"/>
    </row>
    <row r="1217" spans="1:1">
      <c r="A1217" s="99"/>
    </row>
    <row r="1218" spans="1:1">
      <c r="A1218" s="99"/>
    </row>
    <row r="1219" spans="1:1">
      <c r="A1219" s="99"/>
    </row>
    <row r="1220" spans="1:1">
      <c r="A1220" s="99"/>
    </row>
    <row r="1221" spans="1:1">
      <c r="A1221" s="99"/>
    </row>
    <row r="1222" spans="1:1">
      <c r="A1222" s="99"/>
    </row>
    <row r="1223" spans="1:1">
      <c r="A1223" s="99"/>
    </row>
    <row r="1224" spans="1:1">
      <c r="A1224" s="99"/>
    </row>
    <row r="1225" spans="1:1">
      <c r="A1225" s="99"/>
    </row>
    <row r="1226" spans="1:1">
      <c r="A1226" s="99"/>
    </row>
    <row r="1227" spans="1:1">
      <c r="A1227" s="99"/>
    </row>
    <row r="1228" spans="1:1">
      <c r="A1228" s="99"/>
    </row>
    <row r="1229" spans="1:1">
      <c r="A1229" s="99"/>
    </row>
    <row r="1230" spans="1:1">
      <c r="A1230" s="99"/>
    </row>
    <row r="1231" spans="1:1">
      <c r="A1231" s="99"/>
    </row>
    <row r="1232" spans="1:1">
      <c r="A1232" s="99"/>
    </row>
    <row r="1233" spans="1:1">
      <c r="A1233" s="99"/>
    </row>
    <row r="1234" spans="1:1">
      <c r="A1234" s="99"/>
    </row>
    <row r="1235" spans="1:1">
      <c r="A1235" s="99"/>
    </row>
    <row r="1236" spans="1:1">
      <c r="A1236" s="99"/>
    </row>
    <row r="1237" spans="1:1">
      <c r="A1237" s="99"/>
    </row>
    <row r="1238" spans="1:1">
      <c r="A1238" s="99"/>
    </row>
    <row r="1239" spans="1:1">
      <c r="A1239" s="99"/>
    </row>
    <row r="1240" spans="1:1">
      <c r="A1240" s="99"/>
    </row>
    <row r="1241" spans="1:1">
      <c r="A1241" s="99"/>
    </row>
    <row r="1242" spans="1:1">
      <c r="A1242" s="99"/>
    </row>
    <row r="1243" spans="1:1">
      <c r="A1243" s="99"/>
    </row>
    <row r="1244" spans="1:1">
      <c r="A1244" s="99"/>
    </row>
    <row r="1245" spans="1:1">
      <c r="A1245" s="99"/>
    </row>
    <row r="1246" spans="1:1">
      <c r="A1246" s="99"/>
    </row>
    <row r="1247" spans="1:1">
      <c r="A1247" s="99"/>
    </row>
    <row r="1248" spans="1:1">
      <c r="A1248" s="99"/>
    </row>
    <row r="1249" spans="1:1">
      <c r="A1249" s="99"/>
    </row>
    <row r="1250" spans="1:1">
      <c r="A1250" s="99"/>
    </row>
    <row r="1251" spans="1:1">
      <c r="A1251" s="99"/>
    </row>
    <row r="1252" spans="1:1">
      <c r="A1252" s="99"/>
    </row>
    <row r="1253" spans="1:1">
      <c r="A1253" s="99"/>
    </row>
    <row r="1254" spans="1:1">
      <c r="A1254" s="99"/>
    </row>
    <row r="1255" spans="1:1">
      <c r="A1255" s="99"/>
    </row>
    <row r="1256" spans="1:1">
      <c r="A1256" s="99"/>
    </row>
    <row r="1257" spans="1:1">
      <c r="A1257" s="99"/>
    </row>
    <row r="1258" spans="1:1">
      <c r="A1258" s="99"/>
    </row>
    <row r="1259" spans="1:1">
      <c r="A1259" s="99"/>
    </row>
    <row r="1260" spans="1:1">
      <c r="A1260" s="99"/>
    </row>
    <row r="1261" spans="1:1">
      <c r="A1261" s="99"/>
    </row>
    <row r="1262" spans="1:1">
      <c r="A1262" s="99"/>
    </row>
    <row r="1263" spans="1:1">
      <c r="A1263" s="99"/>
    </row>
    <row r="1264" spans="1:1">
      <c r="A1264" s="99"/>
    </row>
    <row r="1265" spans="1:1">
      <c r="A1265" s="99"/>
    </row>
    <row r="1266" spans="1:1">
      <c r="A1266" s="99"/>
    </row>
    <row r="1267" spans="1:1">
      <c r="A1267" s="99"/>
    </row>
    <row r="1268" spans="1:1">
      <c r="A1268" s="99"/>
    </row>
    <row r="1269" spans="1:1">
      <c r="A1269" s="99"/>
    </row>
    <row r="1270" spans="1:1">
      <c r="A1270" s="99"/>
    </row>
    <row r="1271" spans="1:1">
      <c r="A1271" s="99"/>
    </row>
    <row r="1272" spans="1:1">
      <c r="A1272" s="99"/>
    </row>
    <row r="1273" spans="1:1">
      <c r="A1273" s="99"/>
    </row>
    <row r="1274" spans="1:1">
      <c r="A1274" s="99"/>
    </row>
    <row r="1275" spans="1:1">
      <c r="A1275" s="99"/>
    </row>
    <row r="1276" spans="1:1">
      <c r="A1276" s="99"/>
    </row>
    <row r="1277" spans="1:1">
      <c r="A1277" s="99"/>
    </row>
    <row r="1278" spans="1:1">
      <c r="A1278" s="99"/>
    </row>
    <row r="1279" spans="1:1">
      <c r="A1279" s="99"/>
    </row>
    <row r="1280" spans="1:1">
      <c r="A1280" s="99"/>
    </row>
    <row r="1281" spans="1:1">
      <c r="A1281" s="99"/>
    </row>
    <row r="1282" spans="1:1">
      <c r="A1282" s="99"/>
    </row>
    <row r="1283" spans="1:1">
      <c r="A1283" s="99"/>
    </row>
    <row r="1284" spans="1:1">
      <c r="A1284" s="99"/>
    </row>
    <row r="1285" spans="1:1">
      <c r="A1285" s="99"/>
    </row>
    <row r="1286" spans="1:1">
      <c r="A1286" s="99"/>
    </row>
    <row r="1287" spans="1:1">
      <c r="A1287" s="99"/>
    </row>
    <row r="1288" spans="1:1">
      <c r="A1288" s="99"/>
    </row>
    <row r="1289" spans="1:1">
      <c r="A1289" s="99"/>
    </row>
    <row r="1290" spans="1:1">
      <c r="A1290" s="99"/>
    </row>
    <row r="1291" spans="1:1">
      <c r="A1291" s="99"/>
    </row>
    <row r="1292" spans="1:1">
      <c r="A1292" s="99"/>
    </row>
    <row r="1293" spans="1:1">
      <c r="A1293" s="99"/>
    </row>
    <row r="1294" spans="1:1">
      <c r="A1294" s="99"/>
    </row>
    <row r="1295" spans="1:1">
      <c r="A1295" s="99"/>
    </row>
    <row r="1296" spans="1:1">
      <c r="A1296" s="99"/>
    </row>
    <row r="1297" spans="1:1">
      <c r="A1297" s="99"/>
    </row>
    <row r="1298" spans="1:1">
      <c r="A1298" s="99"/>
    </row>
    <row r="1299" spans="1:1">
      <c r="A1299" s="99"/>
    </row>
    <row r="1300" spans="1:1">
      <c r="A1300" s="99"/>
    </row>
    <row r="1301" spans="1:1">
      <c r="A1301" s="99"/>
    </row>
    <row r="1302" spans="1:1">
      <c r="A1302" s="99"/>
    </row>
    <row r="1303" spans="1:1">
      <c r="A1303" s="99"/>
    </row>
    <row r="1304" spans="1:1">
      <c r="A1304" s="99"/>
    </row>
    <row r="1305" spans="1:1">
      <c r="A1305" s="99"/>
    </row>
    <row r="1306" spans="1:1">
      <c r="A1306" s="99"/>
    </row>
    <row r="1307" spans="1:1">
      <c r="A1307" s="99"/>
    </row>
    <row r="1308" spans="1:1">
      <c r="A1308" s="99"/>
    </row>
    <row r="1309" spans="1:1">
      <c r="A1309" s="99"/>
    </row>
    <row r="1310" spans="1:1">
      <c r="A1310" s="99"/>
    </row>
    <row r="1311" spans="1:1">
      <c r="A1311" s="99"/>
    </row>
    <row r="1312" spans="1:1">
      <c r="A1312" s="99"/>
    </row>
    <row r="1313" spans="1:1">
      <c r="A1313" s="99"/>
    </row>
    <row r="1314" spans="1:1">
      <c r="A1314" s="99"/>
    </row>
    <row r="1315" spans="1:1">
      <c r="A1315" s="99"/>
    </row>
    <row r="1316" spans="1:1">
      <c r="A1316" s="99"/>
    </row>
    <row r="1317" spans="1:1">
      <c r="A1317" s="99"/>
    </row>
    <row r="1318" spans="1:1">
      <c r="A1318" s="99"/>
    </row>
    <row r="1319" spans="1:1">
      <c r="A1319" s="99"/>
    </row>
    <row r="1320" spans="1:1">
      <c r="A1320" s="99"/>
    </row>
    <row r="1321" spans="1:1">
      <c r="A1321" s="99"/>
    </row>
    <row r="1322" spans="1:1">
      <c r="A1322" s="99"/>
    </row>
    <row r="1323" spans="1:1">
      <c r="A1323" s="99"/>
    </row>
    <row r="1324" spans="1:1">
      <c r="A1324" s="99"/>
    </row>
    <row r="1325" spans="1:1">
      <c r="A1325" s="99"/>
    </row>
    <row r="1326" spans="1:1">
      <c r="A1326" s="99"/>
    </row>
    <row r="1327" spans="1:1">
      <c r="A1327" s="99"/>
    </row>
    <row r="1328" spans="1:1">
      <c r="A1328" s="99"/>
    </row>
    <row r="1329" spans="1:1">
      <c r="A1329" s="99"/>
    </row>
    <row r="1330" spans="1:1">
      <c r="A1330" s="99"/>
    </row>
    <row r="1331" spans="1:1">
      <c r="A1331" s="99"/>
    </row>
    <row r="1332" spans="1:1">
      <c r="A1332" s="99"/>
    </row>
    <row r="1333" spans="1:1">
      <c r="A1333" s="99"/>
    </row>
    <row r="1334" spans="1:1">
      <c r="A1334" s="99"/>
    </row>
    <row r="1335" spans="1:1">
      <c r="A1335" s="99"/>
    </row>
    <row r="1336" spans="1:1">
      <c r="A1336" s="99"/>
    </row>
    <row r="1337" spans="1:1">
      <c r="A1337" s="99"/>
    </row>
    <row r="1338" spans="1:1">
      <c r="A1338" s="99"/>
    </row>
    <row r="1339" spans="1:1">
      <c r="A1339" s="99"/>
    </row>
    <row r="1340" spans="1:1">
      <c r="A1340" s="99"/>
    </row>
    <row r="1341" spans="1:1">
      <c r="A1341" s="99"/>
    </row>
    <row r="1342" spans="1:1">
      <c r="A1342" s="99"/>
    </row>
    <row r="1343" spans="1:1">
      <c r="A1343" s="99"/>
    </row>
    <row r="1344" spans="1:1">
      <c r="A1344" s="99"/>
    </row>
    <row r="1345" spans="1:1">
      <c r="A1345" s="99"/>
    </row>
    <row r="1346" spans="1:1">
      <c r="A1346" s="99"/>
    </row>
    <row r="1347" spans="1:1">
      <c r="A1347" s="99"/>
    </row>
    <row r="1348" spans="1:1">
      <c r="A1348" s="99"/>
    </row>
    <row r="1349" spans="1:1">
      <c r="A1349" s="99"/>
    </row>
    <row r="1350" spans="1:1">
      <c r="A1350" s="99"/>
    </row>
    <row r="1351" spans="1:1">
      <c r="A1351" s="99"/>
    </row>
    <row r="1352" spans="1:1">
      <c r="A1352" s="99"/>
    </row>
    <row r="1353" spans="1:1">
      <c r="A1353" s="99"/>
    </row>
    <row r="1354" spans="1:1">
      <c r="A1354" s="99"/>
    </row>
    <row r="1355" spans="1:1">
      <c r="A1355" s="99"/>
    </row>
    <row r="1356" spans="1:1">
      <c r="A1356" s="99"/>
    </row>
    <row r="1357" spans="1:1">
      <c r="A1357" s="99"/>
    </row>
    <row r="1358" spans="1:1">
      <c r="A1358" s="99"/>
    </row>
    <row r="1359" spans="1:1">
      <c r="A1359" s="99"/>
    </row>
    <row r="1360" spans="1:1">
      <c r="A1360" s="99"/>
    </row>
    <row r="1361" spans="1:1">
      <c r="A1361" s="99"/>
    </row>
    <row r="1362" spans="1:1">
      <c r="A1362" s="99"/>
    </row>
    <row r="1363" spans="1:1">
      <c r="A1363" s="99"/>
    </row>
    <row r="1364" spans="1:1">
      <c r="A1364" s="99"/>
    </row>
    <row r="1365" spans="1:1">
      <c r="A1365" s="99"/>
    </row>
    <row r="1366" spans="1:1">
      <c r="A1366" s="99"/>
    </row>
    <row r="1367" spans="1:1">
      <c r="A1367" s="99"/>
    </row>
    <row r="1368" spans="1:1">
      <c r="A1368" s="99"/>
    </row>
    <row r="1369" spans="1:1">
      <c r="A1369" s="99"/>
    </row>
    <row r="1370" spans="1:1">
      <c r="A1370" s="99"/>
    </row>
    <row r="1371" spans="1:1">
      <c r="A1371" s="99"/>
    </row>
    <row r="1372" spans="1:1">
      <c r="A1372" s="99"/>
    </row>
    <row r="1373" spans="1:1">
      <c r="A1373" s="99"/>
    </row>
    <row r="1374" spans="1:1">
      <c r="A1374" s="99"/>
    </row>
    <row r="1375" spans="1:1">
      <c r="A1375" s="99"/>
    </row>
    <row r="1376" spans="1:1">
      <c r="A1376" s="99"/>
    </row>
    <row r="1377" spans="1:1">
      <c r="A1377" s="99"/>
    </row>
    <row r="1378" spans="1:1">
      <c r="A1378" s="99"/>
    </row>
    <row r="1379" spans="1:1">
      <c r="A1379" s="99"/>
    </row>
    <row r="1380" spans="1:1">
      <c r="A1380" s="99"/>
    </row>
    <row r="1381" spans="1:1">
      <c r="A1381" s="99"/>
    </row>
    <row r="1382" spans="1:1">
      <c r="A1382" s="99"/>
    </row>
    <row r="1383" spans="1:1">
      <c r="A1383" s="99"/>
    </row>
    <row r="1384" spans="1:1">
      <c r="A1384" s="99"/>
    </row>
    <row r="1385" spans="1:1">
      <c r="A1385" s="99"/>
    </row>
    <row r="1386" spans="1:1">
      <c r="A1386" s="99"/>
    </row>
    <row r="1387" spans="1:1">
      <c r="A1387" s="99"/>
    </row>
    <row r="1388" spans="1:1">
      <c r="A1388" s="99"/>
    </row>
    <row r="1389" spans="1:1">
      <c r="A1389" s="99"/>
    </row>
    <row r="1390" spans="1:1">
      <c r="A1390" s="99"/>
    </row>
    <row r="1391" spans="1:1">
      <c r="A1391" s="99"/>
    </row>
    <row r="1392" spans="1:1">
      <c r="A1392" s="99"/>
    </row>
    <row r="1393" spans="1:1">
      <c r="A1393" s="99"/>
    </row>
    <row r="1394" spans="1:1">
      <c r="A1394" s="99"/>
    </row>
    <row r="1395" spans="1:1">
      <c r="A1395" s="99"/>
    </row>
    <row r="1396" spans="1:1">
      <c r="A1396" s="99"/>
    </row>
    <row r="1397" spans="1:1">
      <c r="A1397" s="99"/>
    </row>
    <row r="1398" spans="1:1">
      <c r="A1398" s="99"/>
    </row>
    <row r="1399" spans="1:1">
      <c r="A1399" s="99"/>
    </row>
    <row r="1400" spans="1:1">
      <c r="A1400" s="99"/>
    </row>
    <row r="1401" spans="1:1">
      <c r="A1401" s="99"/>
    </row>
    <row r="1402" spans="1:1">
      <c r="A1402" s="99"/>
    </row>
    <row r="1403" spans="1:1">
      <c r="A1403" s="99"/>
    </row>
    <row r="1404" spans="1:1">
      <c r="A1404" s="99"/>
    </row>
    <row r="1405" spans="1:1">
      <c r="A1405" s="99"/>
    </row>
    <row r="1406" spans="1:1">
      <c r="A1406" s="99"/>
    </row>
    <row r="1407" spans="1:1">
      <c r="A1407" s="99"/>
    </row>
    <row r="1408" spans="1:1">
      <c r="A1408" s="99"/>
    </row>
    <row r="1409" spans="1:1">
      <c r="A1409" s="99"/>
    </row>
    <row r="1410" spans="1:1">
      <c r="A1410" s="99"/>
    </row>
    <row r="1411" spans="1:1">
      <c r="A1411" s="99"/>
    </row>
    <row r="1412" spans="1:1">
      <c r="A1412" s="99"/>
    </row>
    <row r="1413" spans="1:1">
      <c r="A1413" s="99"/>
    </row>
    <row r="1414" spans="1:1">
      <c r="A1414" s="99"/>
    </row>
    <row r="1415" spans="1:1">
      <c r="A1415" s="99"/>
    </row>
    <row r="1416" spans="1:1">
      <c r="A1416" s="99"/>
    </row>
    <row r="1417" spans="1:1">
      <c r="A1417" s="99"/>
    </row>
    <row r="1418" spans="1:1">
      <c r="A1418" s="99"/>
    </row>
    <row r="1419" spans="1:1">
      <c r="A1419" s="99"/>
    </row>
    <row r="1420" spans="1:1">
      <c r="A1420" s="99"/>
    </row>
    <row r="1421" spans="1:1">
      <c r="A1421" s="99"/>
    </row>
    <row r="1422" spans="1:1">
      <c r="A1422" s="99"/>
    </row>
    <row r="1423" spans="1:1">
      <c r="A1423" s="99"/>
    </row>
    <row r="1424" spans="1:1">
      <c r="A1424" s="99"/>
    </row>
    <row r="1425" spans="1:1">
      <c r="A1425" s="99"/>
    </row>
    <row r="1426" spans="1:1">
      <c r="A1426" s="99"/>
    </row>
    <row r="1427" spans="1:1">
      <c r="A1427" s="99"/>
    </row>
    <row r="1428" spans="1:1">
      <c r="A1428" s="99"/>
    </row>
    <row r="1429" spans="1:1">
      <c r="A1429" s="99"/>
    </row>
    <row r="1430" spans="1:1">
      <c r="A1430" s="99"/>
    </row>
    <row r="1431" spans="1:1">
      <c r="A1431" s="99"/>
    </row>
    <row r="1432" spans="1:1">
      <c r="A1432" s="99"/>
    </row>
    <row r="1433" spans="1:1">
      <c r="A1433" s="99"/>
    </row>
    <row r="1434" spans="1:1">
      <c r="A1434" s="99"/>
    </row>
    <row r="1435" spans="1:1">
      <c r="A1435" s="99"/>
    </row>
    <row r="1436" spans="1:1">
      <c r="A1436" s="99"/>
    </row>
    <row r="1437" spans="1:1">
      <c r="A1437" s="99"/>
    </row>
    <row r="1438" spans="1:1">
      <c r="A1438" s="99"/>
    </row>
    <row r="1439" spans="1:1">
      <c r="A1439" s="99"/>
    </row>
    <row r="1440" spans="1:1">
      <c r="A1440" s="99"/>
    </row>
    <row r="1441" spans="1:1">
      <c r="A1441" s="99"/>
    </row>
    <row r="1442" spans="1:1">
      <c r="A1442" s="99"/>
    </row>
    <row r="1443" spans="1:1">
      <c r="A1443" s="99"/>
    </row>
    <row r="1444" spans="1:1">
      <c r="A1444" s="99"/>
    </row>
    <row r="1445" spans="1:1">
      <c r="A1445" s="99"/>
    </row>
    <row r="1446" spans="1:1">
      <c r="A1446" s="99"/>
    </row>
    <row r="1447" spans="1:1">
      <c r="A1447" s="99"/>
    </row>
    <row r="1448" spans="1:1">
      <c r="A1448" s="99"/>
    </row>
    <row r="1449" spans="1:1">
      <c r="A1449" s="99"/>
    </row>
    <row r="1450" spans="1:1">
      <c r="A1450" s="99"/>
    </row>
    <row r="1451" spans="1:1">
      <c r="A1451" s="99"/>
    </row>
    <row r="1452" spans="1:1">
      <c r="A1452" s="99"/>
    </row>
    <row r="1453" spans="1:1">
      <c r="A1453" s="99"/>
    </row>
    <row r="1454" spans="1:1">
      <c r="A1454" s="99"/>
    </row>
    <row r="1455" spans="1:1">
      <c r="A1455" s="99"/>
    </row>
    <row r="1456" spans="1:1">
      <c r="A1456" s="99"/>
    </row>
    <row r="1457" spans="1:1">
      <c r="A1457" s="99"/>
    </row>
    <row r="1458" spans="1:1">
      <c r="A1458" s="99"/>
    </row>
    <row r="1459" spans="1:1">
      <c r="A1459" s="99"/>
    </row>
    <row r="1460" spans="1:1">
      <c r="A1460" s="99"/>
    </row>
    <row r="1461" spans="1:1">
      <c r="A1461" s="99"/>
    </row>
    <row r="1462" spans="1:1">
      <c r="A1462" s="99"/>
    </row>
    <row r="1463" spans="1:1">
      <c r="A1463" s="99"/>
    </row>
    <row r="1464" spans="1:1">
      <c r="A1464" s="99"/>
    </row>
    <row r="1465" spans="1:1">
      <c r="A1465" s="99"/>
    </row>
    <row r="1466" spans="1:1">
      <c r="A1466" s="99"/>
    </row>
    <row r="1467" spans="1:1">
      <c r="A1467" s="99"/>
    </row>
    <row r="1468" spans="1:1">
      <c r="A1468" s="99"/>
    </row>
    <row r="1469" spans="1:1">
      <c r="A1469" s="99"/>
    </row>
    <row r="1470" spans="1:1">
      <c r="A1470" s="99"/>
    </row>
    <row r="1471" spans="1:1">
      <c r="A1471" s="99"/>
    </row>
    <row r="1472" spans="1:1">
      <c r="A1472" s="99"/>
    </row>
    <row r="1473" spans="1:1">
      <c r="A1473" s="99"/>
    </row>
    <row r="1474" spans="1:1">
      <c r="A1474" s="99"/>
    </row>
    <row r="1475" spans="1:1">
      <c r="A1475" s="99"/>
    </row>
    <row r="1476" spans="1:1">
      <c r="A1476" s="99"/>
    </row>
    <row r="1477" spans="1:1">
      <c r="A1477" s="99"/>
    </row>
    <row r="1478" spans="1:1">
      <c r="A1478" s="99"/>
    </row>
    <row r="1479" spans="1:1">
      <c r="A1479" s="99"/>
    </row>
    <row r="1480" spans="1:1">
      <c r="A1480" s="99"/>
    </row>
    <row r="1481" spans="1:1">
      <c r="A1481" s="99"/>
    </row>
    <row r="1482" spans="1:1">
      <c r="A1482" s="99"/>
    </row>
    <row r="1483" spans="1:1">
      <c r="A1483" s="99"/>
    </row>
    <row r="1484" spans="1:1">
      <c r="A1484" s="99"/>
    </row>
    <row r="1485" spans="1:1">
      <c r="A1485" s="99"/>
    </row>
    <row r="1486" spans="1:1">
      <c r="A1486" s="99"/>
    </row>
    <row r="1487" spans="1:1">
      <c r="A1487" s="99"/>
    </row>
    <row r="1488" spans="1:1">
      <c r="A1488" s="99"/>
    </row>
    <row r="1489" spans="1:1">
      <c r="A1489" s="99"/>
    </row>
    <row r="1490" spans="1:1">
      <c r="A1490" s="99"/>
    </row>
    <row r="1491" spans="1:1">
      <c r="A1491" s="99"/>
    </row>
    <row r="1492" spans="1:1">
      <c r="A1492" s="99"/>
    </row>
    <row r="1493" spans="1:1">
      <c r="A1493" s="99"/>
    </row>
    <row r="1494" spans="1:1">
      <c r="A1494" s="99"/>
    </row>
    <row r="1495" spans="1:1">
      <c r="A1495" s="99"/>
    </row>
    <row r="1496" spans="1:1">
      <c r="A1496" s="99"/>
    </row>
    <row r="1497" spans="1:1">
      <c r="A1497" s="99"/>
    </row>
    <row r="1498" spans="1:1">
      <c r="A1498" s="99"/>
    </row>
    <row r="1499" spans="1:1">
      <c r="A1499" s="99"/>
    </row>
    <row r="1500" spans="1:1">
      <c r="A1500" s="99"/>
    </row>
    <row r="1501" spans="1:1">
      <c r="A1501" s="99"/>
    </row>
    <row r="1502" spans="1:1">
      <c r="A1502" s="99"/>
    </row>
    <row r="1503" spans="1:1">
      <c r="A1503" s="99"/>
    </row>
    <row r="1504" spans="1:1">
      <c r="A1504" s="99"/>
    </row>
    <row r="1505" spans="1:1">
      <c r="A1505" s="99"/>
    </row>
    <row r="1506" spans="1:1">
      <c r="A1506" s="99"/>
    </row>
    <row r="1507" spans="1:1">
      <c r="A1507" s="99"/>
    </row>
    <row r="1508" spans="1:1">
      <c r="A1508" s="99"/>
    </row>
    <row r="1509" spans="1:1">
      <c r="A1509" s="99"/>
    </row>
    <row r="1510" spans="1:1">
      <c r="A1510" s="99"/>
    </row>
    <row r="1511" spans="1:1">
      <c r="A1511" s="99"/>
    </row>
    <row r="1512" spans="1:1">
      <c r="A1512" s="99"/>
    </row>
    <row r="1513" spans="1:1">
      <c r="A1513" s="99"/>
    </row>
    <row r="1514" spans="1:1">
      <c r="A1514" s="99"/>
    </row>
    <row r="1515" spans="1:1">
      <c r="A1515" s="99"/>
    </row>
    <row r="1516" spans="1:1">
      <c r="A1516" s="99"/>
    </row>
    <row r="1517" spans="1:1">
      <c r="A1517" s="99"/>
    </row>
    <row r="1518" spans="1:1">
      <c r="A1518" s="99"/>
    </row>
    <row r="1519" spans="1:1">
      <c r="A1519" s="99"/>
    </row>
    <row r="1520" spans="1:1">
      <c r="A1520" s="99"/>
    </row>
    <row r="1521" spans="1:1">
      <c r="A1521" s="99"/>
    </row>
    <row r="1522" spans="1:1">
      <c r="A1522" s="99"/>
    </row>
    <row r="1523" spans="1:1">
      <c r="A1523" s="99"/>
    </row>
    <row r="1524" spans="1:1">
      <c r="A1524" s="99"/>
    </row>
    <row r="1525" spans="1:1">
      <c r="A1525" s="99"/>
    </row>
    <row r="1526" spans="1:1">
      <c r="A1526" s="99"/>
    </row>
    <row r="1527" spans="1:1">
      <c r="A1527" s="99"/>
    </row>
    <row r="1528" spans="1:1">
      <c r="A1528" s="99"/>
    </row>
    <row r="1529" spans="1:1">
      <c r="A1529" s="99"/>
    </row>
    <row r="1530" spans="1:1">
      <c r="A1530" s="99"/>
    </row>
    <row r="1531" spans="1:1">
      <c r="A1531" s="99"/>
    </row>
    <row r="1532" spans="1:1">
      <c r="A1532" s="99"/>
    </row>
    <row r="1533" spans="1:1">
      <c r="A1533" s="99"/>
    </row>
    <row r="1534" spans="1:1">
      <c r="A1534" s="99"/>
    </row>
    <row r="1535" spans="1:1">
      <c r="A1535" s="99"/>
    </row>
    <row r="1536" spans="1:1">
      <c r="A1536" s="99"/>
    </row>
    <row r="1537" spans="1:1">
      <c r="A1537" s="99"/>
    </row>
    <row r="1538" spans="1:1">
      <c r="A1538" s="99"/>
    </row>
    <row r="1539" spans="1:1">
      <c r="A1539" s="99"/>
    </row>
    <row r="1540" spans="1:1">
      <c r="A1540" s="99"/>
    </row>
    <row r="1541" spans="1:1">
      <c r="A1541" s="99"/>
    </row>
    <row r="1542" spans="1:1">
      <c r="A1542" s="99"/>
    </row>
    <row r="1543" spans="1:1">
      <c r="A1543" s="99"/>
    </row>
    <row r="1544" spans="1:1">
      <c r="A1544" s="99"/>
    </row>
    <row r="1545" spans="1:1">
      <c r="A1545" s="99"/>
    </row>
    <row r="1546" spans="1:1">
      <c r="A1546" s="99"/>
    </row>
    <row r="1547" spans="1:1">
      <c r="A1547" s="99"/>
    </row>
    <row r="1548" spans="1:1">
      <c r="A1548" s="99"/>
    </row>
    <row r="1549" spans="1:1">
      <c r="A1549" s="99"/>
    </row>
    <row r="1550" spans="1:1">
      <c r="A1550" s="99"/>
    </row>
    <row r="1551" spans="1:1">
      <c r="A1551" s="99"/>
    </row>
    <row r="1552" spans="1:1">
      <c r="A1552" s="99"/>
    </row>
    <row r="1553" spans="1:1">
      <c r="A1553" s="99"/>
    </row>
    <row r="1554" spans="1:1">
      <c r="A1554" s="99"/>
    </row>
    <row r="1555" spans="1:1">
      <c r="A1555" s="99"/>
    </row>
    <row r="1556" spans="1:1">
      <c r="A1556" s="99"/>
    </row>
    <row r="1557" spans="1:1">
      <c r="A1557" s="99"/>
    </row>
    <row r="1558" spans="1:1">
      <c r="A1558" s="99"/>
    </row>
    <row r="1559" spans="1:1">
      <c r="A1559" s="99"/>
    </row>
    <row r="1560" spans="1:1">
      <c r="A1560" s="99"/>
    </row>
    <row r="1561" spans="1:1">
      <c r="A1561" s="99"/>
    </row>
    <row r="1562" spans="1:1">
      <c r="A1562" s="99"/>
    </row>
    <row r="1563" spans="1:1">
      <c r="A1563" s="99"/>
    </row>
    <row r="1564" spans="1:1">
      <c r="A1564" s="99"/>
    </row>
    <row r="1565" spans="1:1">
      <c r="A1565" s="99"/>
    </row>
    <row r="1566" spans="1:1">
      <c r="A1566" s="99"/>
    </row>
    <row r="1567" spans="1:1">
      <c r="A1567" s="99"/>
    </row>
    <row r="1568" spans="1:1">
      <c r="A1568" s="99"/>
    </row>
    <row r="1569" spans="1:1">
      <c r="A1569" s="99"/>
    </row>
    <row r="1570" spans="1:1">
      <c r="A1570" s="99"/>
    </row>
    <row r="1571" spans="1:1">
      <c r="A1571" s="99"/>
    </row>
    <row r="1572" spans="1:1">
      <c r="A1572" s="99"/>
    </row>
    <row r="1573" spans="1:1">
      <c r="A1573" s="99"/>
    </row>
    <row r="1574" spans="1:1">
      <c r="A1574" s="99"/>
    </row>
    <row r="1575" spans="1:1">
      <c r="A1575" s="99"/>
    </row>
    <row r="1576" spans="1:1">
      <c r="A1576" s="99"/>
    </row>
    <row r="1577" spans="1:1">
      <c r="A1577" s="99"/>
    </row>
    <row r="1578" spans="1:1">
      <c r="A1578" s="99"/>
    </row>
    <row r="1579" spans="1:1">
      <c r="A1579" s="99"/>
    </row>
    <row r="1580" spans="1:1">
      <c r="A1580" s="99"/>
    </row>
    <row r="1581" spans="1:1">
      <c r="A1581" s="99"/>
    </row>
    <row r="1582" spans="1:1">
      <c r="A1582" s="99"/>
    </row>
    <row r="1583" spans="1:1">
      <c r="A1583" s="99"/>
    </row>
    <row r="1584" spans="1:1">
      <c r="A1584" s="99"/>
    </row>
    <row r="1585" spans="1:1">
      <c r="A1585" s="99"/>
    </row>
    <row r="1586" spans="1:1">
      <c r="A1586" s="99"/>
    </row>
    <row r="1587" spans="1:1">
      <c r="A1587" s="99"/>
    </row>
    <row r="1588" spans="1:1">
      <c r="A1588" s="99"/>
    </row>
    <row r="1589" spans="1:1">
      <c r="A1589" s="99"/>
    </row>
    <row r="1590" spans="1:1">
      <c r="A1590" s="99"/>
    </row>
    <row r="1591" spans="1:1">
      <c r="A1591" s="99"/>
    </row>
    <row r="1592" spans="1:1">
      <c r="A1592" s="99"/>
    </row>
    <row r="1593" spans="1:1">
      <c r="A1593" s="99"/>
    </row>
    <row r="1594" spans="1:1">
      <c r="A1594" s="99"/>
    </row>
    <row r="1595" spans="1:1">
      <c r="A1595" s="99"/>
    </row>
    <row r="1596" spans="1:1">
      <c r="A1596" s="99"/>
    </row>
    <row r="1597" spans="1:1">
      <c r="A1597" s="99"/>
    </row>
    <row r="1598" spans="1:1">
      <c r="A1598" s="99"/>
    </row>
    <row r="1599" spans="1:1">
      <c r="A1599" s="99"/>
    </row>
    <row r="1600" spans="1:1">
      <c r="A1600" s="99"/>
    </row>
    <row r="1601" spans="1:1">
      <c r="A1601" s="99"/>
    </row>
    <row r="1602" spans="1:1">
      <c r="A1602" s="99"/>
    </row>
    <row r="1603" spans="1:1">
      <c r="A1603" s="99"/>
    </row>
    <row r="1604" spans="1:1">
      <c r="A1604" s="99"/>
    </row>
    <row r="1605" spans="1:1">
      <c r="A1605" s="99"/>
    </row>
    <row r="1606" spans="1:1">
      <c r="A1606" s="99"/>
    </row>
    <row r="1607" spans="1:1">
      <c r="A1607" s="99"/>
    </row>
    <row r="1608" spans="1:1">
      <c r="A1608" s="99"/>
    </row>
    <row r="1609" spans="1:1">
      <c r="A1609" s="99"/>
    </row>
    <row r="1610" spans="1:1">
      <c r="A1610" s="99"/>
    </row>
    <row r="1611" spans="1:1">
      <c r="A1611" s="99"/>
    </row>
    <row r="1612" spans="1:1">
      <c r="A1612" s="99"/>
    </row>
    <row r="1613" spans="1:1">
      <c r="A1613" s="99"/>
    </row>
    <row r="1614" spans="1:1">
      <c r="A1614" s="99"/>
    </row>
    <row r="1615" spans="1:1">
      <c r="A1615" s="99"/>
    </row>
    <row r="1616" spans="1:1">
      <c r="A1616" s="99"/>
    </row>
    <row r="1617" spans="1:1">
      <c r="A1617" s="99"/>
    </row>
    <row r="1618" spans="1:1">
      <c r="A1618" s="99"/>
    </row>
    <row r="1619" spans="1:1">
      <c r="A1619" s="99"/>
    </row>
    <row r="1620" spans="1:1">
      <c r="A1620" s="99"/>
    </row>
    <row r="1621" spans="1:1">
      <c r="A1621" s="99"/>
    </row>
    <row r="1622" spans="1:1">
      <c r="A1622" s="99"/>
    </row>
    <row r="1623" spans="1:1">
      <c r="A1623" s="99"/>
    </row>
    <row r="1624" spans="1:1">
      <c r="A1624" s="99"/>
    </row>
    <row r="1625" spans="1:1">
      <c r="A1625" s="99"/>
    </row>
    <row r="1626" spans="1:1">
      <c r="A1626" s="99"/>
    </row>
    <row r="1627" spans="1:1">
      <c r="A1627" s="99"/>
    </row>
    <row r="1628" spans="1:1">
      <c r="A1628" s="99"/>
    </row>
    <row r="1629" spans="1:1">
      <c r="A1629" s="99"/>
    </row>
    <row r="1630" spans="1:1">
      <c r="A1630" s="99"/>
    </row>
    <row r="1631" spans="1:1">
      <c r="A1631" s="99"/>
    </row>
    <row r="1632" spans="1:1">
      <c r="A1632" s="99"/>
    </row>
    <row r="1633" spans="1:1">
      <c r="A1633" s="99"/>
    </row>
    <row r="1634" spans="1:1">
      <c r="A1634" s="99"/>
    </row>
    <row r="1635" spans="1:1">
      <c r="A1635" s="99"/>
    </row>
    <row r="1636" spans="1:1">
      <c r="A1636" s="99"/>
    </row>
    <row r="1637" spans="1:1">
      <c r="A1637" s="99"/>
    </row>
    <row r="1638" spans="1:1">
      <c r="A1638" s="99"/>
    </row>
    <row r="1639" spans="1:1">
      <c r="A1639" s="99"/>
    </row>
    <row r="1640" spans="1:1">
      <c r="A1640" s="99"/>
    </row>
    <row r="1641" spans="1:1">
      <c r="A1641" s="99"/>
    </row>
    <row r="1642" spans="1:1">
      <c r="A1642" s="99"/>
    </row>
    <row r="1643" spans="1:1">
      <c r="A1643" s="99"/>
    </row>
    <row r="1644" spans="1:1">
      <c r="A1644" s="99"/>
    </row>
    <row r="1645" spans="1:1">
      <c r="A1645" s="99"/>
    </row>
    <row r="1646" spans="1:1">
      <c r="A1646" s="99"/>
    </row>
    <row r="1647" spans="1:1">
      <c r="A1647" s="99"/>
    </row>
    <row r="1648" spans="1:1">
      <c r="A1648" s="99"/>
    </row>
    <row r="1649" spans="1:1">
      <c r="A1649" s="99"/>
    </row>
    <row r="1650" spans="1:1">
      <c r="A1650" s="99"/>
    </row>
    <row r="1651" spans="1:1">
      <c r="A1651" s="99"/>
    </row>
    <row r="1652" spans="1:1">
      <c r="A1652" s="99"/>
    </row>
    <row r="1653" spans="1:1">
      <c r="A1653" s="99"/>
    </row>
    <row r="1654" spans="1:1">
      <c r="A1654" s="99"/>
    </row>
    <row r="1655" spans="1:1">
      <c r="A1655" s="99"/>
    </row>
    <row r="1656" spans="1:1">
      <c r="A1656" s="99"/>
    </row>
    <row r="1657" spans="1:1">
      <c r="A1657" s="99"/>
    </row>
    <row r="1658" spans="1:1">
      <c r="A1658" s="99"/>
    </row>
    <row r="1659" spans="1:1">
      <c r="A1659" s="99"/>
    </row>
    <row r="1660" spans="1:1">
      <c r="A1660" s="99"/>
    </row>
    <row r="1661" spans="1:1">
      <c r="A1661" s="99"/>
    </row>
    <row r="1662" spans="1:1">
      <c r="A1662" s="99"/>
    </row>
    <row r="1663" spans="1:1">
      <c r="A1663" s="99"/>
    </row>
    <row r="1664" spans="1:1">
      <c r="A1664" s="99"/>
    </row>
    <row r="1665" spans="1:1">
      <c r="A1665" s="99"/>
    </row>
    <row r="1666" spans="1:1">
      <c r="A1666" s="99"/>
    </row>
    <row r="1667" spans="1:1">
      <c r="A1667" s="99"/>
    </row>
    <row r="1668" spans="1:1">
      <c r="A1668" s="99"/>
    </row>
    <row r="1669" spans="1:1">
      <c r="A1669" s="99"/>
    </row>
    <row r="1670" spans="1:1">
      <c r="A1670" s="99"/>
    </row>
    <row r="1671" spans="1:1">
      <c r="A1671" s="99"/>
    </row>
    <row r="1672" spans="1:1">
      <c r="A1672" s="99"/>
    </row>
    <row r="1673" spans="1:1">
      <c r="A1673" s="99"/>
    </row>
    <row r="1674" spans="1:1">
      <c r="A1674" s="99"/>
    </row>
    <row r="1675" spans="1:1">
      <c r="A1675" s="99"/>
    </row>
    <row r="1676" spans="1:1">
      <c r="A1676" s="99"/>
    </row>
    <row r="1677" spans="1:1">
      <c r="A1677" s="99"/>
    </row>
    <row r="1678" spans="1:1">
      <c r="A1678" s="99"/>
    </row>
    <row r="1679" spans="1:1">
      <c r="A1679" s="99"/>
    </row>
    <row r="1680" spans="1:1">
      <c r="A1680" s="99"/>
    </row>
    <row r="1681" spans="1:1">
      <c r="A1681" s="99"/>
    </row>
    <row r="1682" spans="1:1">
      <c r="A1682" s="99"/>
    </row>
    <row r="1683" spans="1:1">
      <c r="A1683" s="99"/>
    </row>
    <row r="1684" spans="1:1">
      <c r="A1684" s="99"/>
    </row>
    <row r="1685" spans="1:1">
      <c r="A1685" s="99"/>
    </row>
    <row r="1686" spans="1:1">
      <c r="A1686" s="99"/>
    </row>
    <row r="1687" spans="1:1">
      <c r="A1687" s="99"/>
    </row>
    <row r="1688" spans="1:1">
      <c r="A1688" s="99"/>
    </row>
    <row r="1689" spans="1:1">
      <c r="A1689" s="99"/>
    </row>
    <row r="1690" spans="1:1">
      <c r="A1690" s="99"/>
    </row>
    <row r="1691" spans="1:1">
      <c r="A1691" s="99"/>
    </row>
    <row r="1692" spans="1:1">
      <c r="A1692" s="99"/>
    </row>
    <row r="1693" spans="1:1">
      <c r="A1693" s="99"/>
    </row>
    <row r="1694" spans="1:1">
      <c r="A1694" s="99"/>
    </row>
    <row r="1695" spans="1:1">
      <c r="A1695" s="99"/>
    </row>
    <row r="1696" spans="1:1">
      <c r="A1696" s="99"/>
    </row>
    <row r="1697" spans="1:1">
      <c r="A1697" s="99"/>
    </row>
    <row r="1698" spans="1:1">
      <c r="A1698" s="99"/>
    </row>
    <row r="1699" spans="1:1">
      <c r="A1699" s="99"/>
    </row>
    <row r="1700" spans="1:1">
      <c r="A1700" s="99"/>
    </row>
    <row r="1701" spans="1:1">
      <c r="A1701" s="99"/>
    </row>
    <row r="1702" spans="1:1">
      <c r="A1702" s="99"/>
    </row>
    <row r="1703" spans="1:1">
      <c r="A1703" s="99"/>
    </row>
    <row r="1704" spans="1:1">
      <c r="A1704" s="99"/>
    </row>
    <row r="1705" spans="1:1">
      <c r="A1705" s="99"/>
    </row>
    <row r="1706" spans="1:1">
      <c r="A1706" s="99"/>
    </row>
    <row r="1707" spans="1:1">
      <c r="A1707" s="99"/>
    </row>
    <row r="1708" spans="1:1">
      <c r="A1708" s="99"/>
    </row>
    <row r="1709" spans="1:1">
      <c r="A1709" s="99"/>
    </row>
    <row r="1710" spans="1:1">
      <c r="A1710" s="99"/>
    </row>
    <row r="1711" spans="1:1">
      <c r="A1711" s="99"/>
    </row>
    <row r="1712" spans="1:1">
      <c r="A1712" s="99"/>
    </row>
    <row r="1713" spans="1:1">
      <c r="A1713" s="99"/>
    </row>
    <row r="1714" spans="1:1">
      <c r="A1714" s="99"/>
    </row>
    <row r="1715" spans="1:1">
      <c r="A1715" s="99"/>
    </row>
    <row r="1716" spans="1:1">
      <c r="A1716" s="99"/>
    </row>
    <row r="1717" spans="1:1">
      <c r="A1717" s="99"/>
    </row>
    <row r="1718" spans="1:1">
      <c r="A1718" s="99"/>
    </row>
    <row r="1719" spans="1:1">
      <c r="A1719" s="99"/>
    </row>
    <row r="1720" spans="1:1">
      <c r="A1720" s="99"/>
    </row>
    <row r="1721" spans="1:1">
      <c r="A1721" s="99"/>
    </row>
    <row r="1722" spans="1:1">
      <c r="A1722" s="99"/>
    </row>
    <row r="1723" spans="1:1">
      <c r="A1723" s="99"/>
    </row>
    <row r="1724" spans="1:1">
      <c r="A1724" s="99"/>
    </row>
    <row r="1725" spans="1:1">
      <c r="A1725" s="99"/>
    </row>
    <row r="1726" spans="1:1">
      <c r="A1726" s="99"/>
    </row>
    <row r="1727" spans="1:1">
      <c r="A1727" s="99"/>
    </row>
    <row r="1728" spans="1:1">
      <c r="A1728" s="99"/>
    </row>
    <row r="1729" spans="1:1">
      <c r="A1729" s="99"/>
    </row>
    <row r="1730" spans="1:1">
      <c r="A1730" s="99"/>
    </row>
    <row r="1731" spans="1:1">
      <c r="A1731" s="99"/>
    </row>
    <row r="1732" spans="1:1">
      <c r="A1732" s="99"/>
    </row>
    <row r="1733" spans="1:1">
      <c r="A1733" s="99"/>
    </row>
    <row r="1734" spans="1:1">
      <c r="A1734" s="99"/>
    </row>
    <row r="1735" spans="1:1">
      <c r="A1735" s="99"/>
    </row>
    <row r="1736" spans="1:1">
      <c r="A1736" s="99"/>
    </row>
    <row r="1737" spans="1:1">
      <c r="A1737" s="99"/>
    </row>
    <row r="1738" spans="1:1">
      <c r="A1738" s="99"/>
    </row>
    <row r="1739" spans="1:1">
      <c r="A1739" s="99"/>
    </row>
    <row r="1740" spans="1:1">
      <c r="A1740" s="99"/>
    </row>
    <row r="1741" spans="1:1">
      <c r="A1741" s="99"/>
    </row>
    <row r="1742" spans="1:1">
      <c r="A1742" s="99"/>
    </row>
    <row r="1743" spans="1:1">
      <c r="A1743" s="99"/>
    </row>
    <row r="1744" spans="1:1">
      <c r="A1744" s="99"/>
    </row>
    <row r="1745" spans="1:1">
      <c r="A1745" s="99"/>
    </row>
    <row r="1746" spans="1:1">
      <c r="A1746" s="99"/>
    </row>
    <row r="1747" spans="1:1">
      <c r="A1747" s="99"/>
    </row>
    <row r="1748" spans="1:1">
      <c r="A1748" s="99"/>
    </row>
    <row r="1749" spans="1:1">
      <c r="A1749" s="99"/>
    </row>
    <row r="1750" spans="1:1">
      <c r="A1750" s="99"/>
    </row>
    <row r="1751" spans="1:1">
      <c r="A1751" s="99"/>
    </row>
    <row r="1752" spans="1:1">
      <c r="A1752" s="99"/>
    </row>
    <row r="1753" spans="1:1">
      <c r="A1753" s="99"/>
    </row>
    <row r="1754" spans="1:1">
      <c r="A1754" s="99"/>
    </row>
    <row r="1755" spans="1:1">
      <c r="A1755" s="99"/>
    </row>
    <row r="1756" spans="1:1">
      <c r="A1756" s="99"/>
    </row>
    <row r="1757" spans="1:1">
      <c r="A1757" s="99"/>
    </row>
    <row r="1758" spans="1:1">
      <c r="A1758" s="99"/>
    </row>
    <row r="1759" spans="1:1">
      <c r="A1759" s="99"/>
    </row>
    <row r="1760" spans="1:1">
      <c r="A1760" s="99"/>
    </row>
    <row r="1761" spans="1:1">
      <c r="A1761" s="99"/>
    </row>
    <row r="1762" spans="1:1">
      <c r="A1762" s="99"/>
    </row>
    <row r="1763" spans="1:1">
      <c r="A1763" s="99"/>
    </row>
    <row r="1764" spans="1:1">
      <c r="A1764" s="99"/>
    </row>
    <row r="1765" spans="1:1">
      <c r="A1765" s="99"/>
    </row>
    <row r="1766" spans="1:1">
      <c r="A1766" s="99"/>
    </row>
    <row r="1767" spans="1:1">
      <c r="A1767" s="99"/>
    </row>
    <row r="1768" spans="1:1">
      <c r="A1768" s="99"/>
    </row>
    <row r="1769" spans="1:1">
      <c r="A1769" s="99"/>
    </row>
    <row r="1770" spans="1:1">
      <c r="A1770" s="99"/>
    </row>
    <row r="1771" spans="1:1">
      <c r="A1771" s="99"/>
    </row>
    <row r="1772" spans="1:1">
      <c r="A1772" s="99"/>
    </row>
    <row r="1773" spans="1:1">
      <c r="A1773" s="99"/>
    </row>
    <row r="1774" spans="1:1">
      <c r="A1774" s="99"/>
    </row>
    <row r="1775" spans="1:1">
      <c r="A1775" s="99"/>
    </row>
    <row r="1776" spans="1:1">
      <c r="A1776" s="99"/>
    </row>
    <row r="1777" spans="1:1">
      <c r="A1777" s="99"/>
    </row>
    <row r="1778" spans="1:1">
      <c r="A1778" s="99"/>
    </row>
    <row r="1779" spans="1:1">
      <c r="A1779" s="99"/>
    </row>
    <row r="1780" spans="1:1">
      <c r="A1780" s="99"/>
    </row>
    <row r="1781" spans="1:1">
      <c r="A1781" s="99"/>
    </row>
    <row r="1782" spans="1:1">
      <c r="A1782" s="99"/>
    </row>
    <row r="1783" spans="1:1">
      <c r="A1783" s="99"/>
    </row>
    <row r="1784" spans="1:1">
      <c r="A1784" s="99"/>
    </row>
    <row r="1785" spans="1:1">
      <c r="A1785" s="99"/>
    </row>
    <row r="1786" spans="1:1">
      <c r="A1786" s="99"/>
    </row>
    <row r="1787" spans="1:1">
      <c r="A1787" s="99"/>
    </row>
    <row r="1788" spans="1:1">
      <c r="A1788" s="99"/>
    </row>
    <row r="1789" spans="1:1">
      <c r="A1789" s="99"/>
    </row>
    <row r="1790" spans="1:1">
      <c r="A1790" s="99"/>
    </row>
    <row r="1791" spans="1:1">
      <c r="A1791" s="99"/>
    </row>
    <row r="1792" spans="1:1">
      <c r="A1792" s="99"/>
    </row>
    <row r="1793" spans="1:1">
      <c r="A1793" s="99"/>
    </row>
    <row r="1794" spans="1:1">
      <c r="A1794" s="99"/>
    </row>
    <row r="1795" spans="1:1">
      <c r="A1795" s="99"/>
    </row>
    <row r="1796" spans="1:1">
      <c r="A1796" s="99"/>
    </row>
    <row r="1797" spans="1:1">
      <c r="A1797" s="99"/>
    </row>
    <row r="1798" spans="1:1">
      <c r="A1798" s="99"/>
    </row>
    <row r="1799" spans="1:1">
      <c r="A1799" s="99"/>
    </row>
    <row r="1800" spans="1:1">
      <c r="A1800" s="99"/>
    </row>
    <row r="1801" spans="1:1">
      <c r="A1801" s="99"/>
    </row>
    <row r="1802" spans="1:1">
      <c r="A1802" s="99"/>
    </row>
    <row r="1803" spans="1:1">
      <c r="A1803" s="99"/>
    </row>
    <row r="1804" spans="1:1">
      <c r="A1804" s="99"/>
    </row>
    <row r="1805" spans="1:1">
      <c r="A1805" s="99"/>
    </row>
    <row r="1806" spans="1:1">
      <c r="A1806" s="99"/>
    </row>
    <row r="1807" spans="1:1">
      <c r="A1807" s="99"/>
    </row>
    <row r="1808" spans="1:1">
      <c r="A1808" s="99"/>
    </row>
    <row r="1809" spans="1:1">
      <c r="A1809" s="99"/>
    </row>
    <row r="1810" spans="1:1">
      <c r="A1810" s="99"/>
    </row>
    <row r="1811" spans="1:1">
      <c r="A1811" s="99"/>
    </row>
    <row r="1812" spans="1:1">
      <c r="A1812" s="99"/>
    </row>
    <row r="1813" spans="1:1">
      <c r="A1813" s="99"/>
    </row>
    <row r="1814" spans="1:1">
      <c r="A1814" s="99"/>
    </row>
    <row r="1815" spans="1:1">
      <c r="A1815" s="99"/>
    </row>
    <row r="1816" spans="1:1">
      <c r="A1816" s="99"/>
    </row>
    <row r="1817" spans="1:1">
      <c r="A1817" s="99"/>
    </row>
    <row r="1818" spans="1:1">
      <c r="A1818" s="99"/>
    </row>
    <row r="1819" spans="1:1">
      <c r="A1819" s="99"/>
    </row>
    <row r="1820" spans="1:1">
      <c r="A1820" s="99"/>
    </row>
    <row r="1821" spans="1:1">
      <c r="A1821" s="99"/>
    </row>
    <row r="1822" spans="1:1">
      <c r="A1822" s="99"/>
    </row>
    <row r="1823" spans="1:1">
      <c r="A1823" s="99"/>
    </row>
    <row r="1824" spans="1:1">
      <c r="A1824" s="99"/>
    </row>
    <row r="1825" spans="1:1">
      <c r="A1825" s="99"/>
    </row>
    <row r="1826" spans="1:1">
      <c r="A1826" s="99"/>
    </row>
    <row r="1827" spans="1:1">
      <c r="A1827" s="99"/>
    </row>
    <row r="1828" spans="1:1">
      <c r="A1828" s="99"/>
    </row>
    <row r="1829" spans="1:1">
      <c r="A1829" s="99"/>
    </row>
    <row r="1830" spans="1:1">
      <c r="A1830" s="99"/>
    </row>
    <row r="1831" spans="1:1">
      <c r="A1831" s="99"/>
    </row>
    <row r="1832" spans="1:1">
      <c r="A1832" s="99"/>
    </row>
    <row r="1833" spans="1:1">
      <c r="A1833" s="99"/>
    </row>
    <row r="1834" spans="1:1">
      <c r="A1834" s="99"/>
    </row>
    <row r="1835" spans="1:1">
      <c r="A1835" s="99"/>
    </row>
    <row r="1836" spans="1:1">
      <c r="A1836" s="99"/>
    </row>
    <row r="1837" spans="1:1">
      <c r="A1837" s="99"/>
    </row>
    <row r="1838" spans="1:1">
      <c r="A1838" s="99"/>
    </row>
    <row r="1839" spans="1:1">
      <c r="A1839" s="99"/>
    </row>
    <row r="1840" spans="1:1">
      <c r="A1840" s="99"/>
    </row>
    <row r="1841" spans="1:1">
      <c r="A1841" s="99"/>
    </row>
    <row r="1842" spans="1:1">
      <c r="A1842" s="99"/>
    </row>
    <row r="1843" spans="1:1">
      <c r="A1843" s="99"/>
    </row>
    <row r="1844" spans="1:1">
      <c r="A1844" s="99"/>
    </row>
    <row r="1845" spans="1:1">
      <c r="A1845" s="99"/>
    </row>
    <row r="1846" spans="1:1">
      <c r="A1846" s="99"/>
    </row>
    <row r="1847" spans="1:1">
      <c r="A1847" s="99"/>
    </row>
    <row r="1848" spans="1:1">
      <c r="A1848" s="99"/>
    </row>
    <row r="1849" spans="1:1">
      <c r="A1849" s="99"/>
    </row>
    <row r="1850" spans="1:1">
      <c r="A1850" s="99"/>
    </row>
    <row r="1851" spans="1:1">
      <c r="A1851" s="99"/>
    </row>
    <row r="1852" spans="1:1">
      <c r="A1852" s="99"/>
    </row>
    <row r="1853" spans="1:1">
      <c r="A1853" s="99"/>
    </row>
    <row r="1854" spans="1:1">
      <c r="A1854" s="99"/>
    </row>
    <row r="1855" spans="1:1">
      <c r="A1855" s="99"/>
    </row>
    <row r="1856" spans="1:1">
      <c r="A1856" s="99"/>
    </row>
    <row r="1857" spans="1:1">
      <c r="A1857" s="99"/>
    </row>
    <row r="1858" spans="1:1">
      <c r="A1858" s="99"/>
    </row>
    <row r="1859" spans="1:1">
      <c r="A1859" s="99"/>
    </row>
    <row r="1860" spans="1:1">
      <c r="A1860" s="99"/>
    </row>
    <row r="1861" spans="1:1">
      <c r="A1861" s="99"/>
    </row>
    <row r="1862" spans="1:1">
      <c r="A1862" s="99"/>
    </row>
    <row r="1863" spans="1:1">
      <c r="A1863" s="99"/>
    </row>
    <row r="1864" spans="1:1">
      <c r="A1864" s="99"/>
    </row>
    <row r="1865" spans="1:1">
      <c r="A1865" s="99"/>
    </row>
    <row r="1866" spans="1:1">
      <c r="A1866" s="99"/>
    </row>
    <row r="1867" spans="1:1">
      <c r="A1867" s="99"/>
    </row>
    <row r="1868" spans="1:1">
      <c r="A1868" s="99"/>
    </row>
    <row r="1869" spans="1:1">
      <c r="A1869" s="99"/>
    </row>
    <row r="1870" spans="1:1">
      <c r="A1870" s="99"/>
    </row>
    <row r="1871" spans="1:1">
      <c r="A1871" s="99"/>
    </row>
    <row r="1872" spans="1:1">
      <c r="A1872" s="99"/>
    </row>
    <row r="1873" spans="1:1">
      <c r="A1873" s="99"/>
    </row>
    <row r="1874" spans="1:1">
      <c r="A1874" s="99"/>
    </row>
    <row r="1875" spans="1:1">
      <c r="A1875" s="99"/>
    </row>
    <row r="1876" spans="1:1">
      <c r="A1876" s="99"/>
    </row>
    <row r="1877" spans="1:1">
      <c r="A1877" s="99"/>
    </row>
    <row r="1878" spans="1:1">
      <c r="A1878" s="99"/>
    </row>
    <row r="1879" spans="1:1">
      <c r="A1879" s="99"/>
    </row>
    <row r="1880" spans="1:1">
      <c r="A1880" s="99"/>
    </row>
    <row r="1881" spans="1:1">
      <c r="A1881" s="99"/>
    </row>
    <row r="1882" spans="1:1">
      <c r="A1882" s="99"/>
    </row>
    <row r="1883" spans="1:1">
      <c r="A1883" s="99"/>
    </row>
    <row r="1884" spans="1:1">
      <c r="A1884" s="99"/>
    </row>
    <row r="1885" spans="1:1">
      <c r="A1885" s="99"/>
    </row>
    <row r="1886" spans="1:1">
      <c r="A1886" s="99"/>
    </row>
    <row r="1887" spans="1:1">
      <c r="A1887" s="99"/>
    </row>
    <row r="1888" spans="1:1">
      <c r="A1888" s="99"/>
    </row>
    <row r="1889" spans="1:1">
      <c r="A1889" s="99"/>
    </row>
    <row r="1890" spans="1:1">
      <c r="A1890" s="99"/>
    </row>
    <row r="1891" spans="1:1">
      <c r="A1891" s="99"/>
    </row>
    <row r="1892" spans="1:1">
      <c r="A1892" s="99"/>
    </row>
    <row r="1893" spans="1:1">
      <c r="A1893" s="99"/>
    </row>
    <row r="1894" spans="1:1">
      <c r="A1894" s="99"/>
    </row>
    <row r="1895" spans="1:1">
      <c r="A1895" s="99"/>
    </row>
    <row r="1896" spans="1:1">
      <c r="A1896" s="99"/>
    </row>
    <row r="1897" spans="1:1">
      <c r="A1897" s="99"/>
    </row>
    <row r="1898" spans="1:1">
      <c r="A1898" s="99"/>
    </row>
    <row r="1899" spans="1:1">
      <c r="A1899" s="99"/>
    </row>
    <row r="1900" spans="1:1">
      <c r="A1900" s="99"/>
    </row>
    <row r="1901" spans="1:1">
      <c r="A1901" s="99"/>
    </row>
    <row r="1902" spans="1:1">
      <c r="A1902" s="99"/>
    </row>
    <row r="1903" spans="1:1">
      <c r="A1903" s="99"/>
    </row>
    <row r="1904" spans="1:1">
      <c r="A1904" s="99"/>
    </row>
    <row r="1905" spans="1:1">
      <c r="A1905" s="99"/>
    </row>
    <row r="1906" spans="1:1">
      <c r="A1906" s="99"/>
    </row>
    <row r="1907" spans="1:1">
      <c r="A1907" s="99"/>
    </row>
    <row r="1908" spans="1:1">
      <c r="A1908" s="99"/>
    </row>
    <row r="1909" spans="1:1">
      <c r="A1909" s="99"/>
    </row>
    <row r="1910" spans="1:1">
      <c r="A1910" s="99"/>
    </row>
    <row r="1911" spans="1:1">
      <c r="A1911" s="99"/>
    </row>
    <row r="1912" spans="1:1">
      <c r="A1912" s="99"/>
    </row>
    <row r="1913" spans="1:1">
      <c r="A1913" s="99"/>
    </row>
    <row r="1914" spans="1:1">
      <c r="A1914" s="99"/>
    </row>
    <row r="1915" spans="1:1">
      <c r="A1915" s="99"/>
    </row>
    <row r="1916" spans="1:1">
      <c r="A1916" s="99"/>
    </row>
    <row r="1917" spans="1:1">
      <c r="A1917" s="99"/>
    </row>
    <row r="1918" spans="1:1">
      <c r="A1918" s="99"/>
    </row>
    <row r="1919" spans="1:1">
      <c r="A1919" s="99"/>
    </row>
    <row r="1920" spans="1:1">
      <c r="A1920" s="99"/>
    </row>
    <row r="1921" spans="1:1">
      <c r="A1921" s="99"/>
    </row>
    <row r="1922" spans="1:1">
      <c r="A1922" s="99"/>
    </row>
    <row r="1923" spans="1:1">
      <c r="A1923" s="99"/>
    </row>
    <row r="1924" spans="1:1">
      <c r="A1924" s="99"/>
    </row>
    <row r="1925" spans="1:1">
      <c r="A1925" s="99"/>
    </row>
    <row r="1926" spans="1:1">
      <c r="A1926" s="99"/>
    </row>
    <row r="1927" spans="1:1">
      <c r="A1927" s="99"/>
    </row>
    <row r="1928" spans="1:1">
      <c r="A1928" s="99"/>
    </row>
    <row r="1929" spans="1:1">
      <c r="A1929" s="99"/>
    </row>
    <row r="1930" spans="1:1">
      <c r="A1930" s="99"/>
    </row>
    <row r="1931" spans="1:1">
      <c r="A1931" s="99"/>
    </row>
    <row r="1932" spans="1:1">
      <c r="A1932" s="99"/>
    </row>
    <row r="1933" spans="1:1">
      <c r="A1933" s="99"/>
    </row>
    <row r="1934" spans="1:1">
      <c r="A1934" s="99"/>
    </row>
    <row r="1935" spans="1:1">
      <c r="A1935" s="99"/>
    </row>
    <row r="1936" spans="1:1">
      <c r="A1936" s="99"/>
    </row>
    <row r="1937" spans="1:1">
      <c r="A1937" s="99"/>
    </row>
    <row r="1938" spans="1:1">
      <c r="A1938" s="99"/>
    </row>
    <row r="1939" spans="1:1">
      <c r="A1939" s="99"/>
    </row>
    <row r="1940" spans="1:1">
      <c r="A1940" s="99"/>
    </row>
    <row r="1941" spans="1:1">
      <c r="A1941" s="99"/>
    </row>
    <row r="1942" spans="1:1">
      <c r="A1942" s="99"/>
    </row>
    <row r="1943" spans="1:1">
      <c r="A1943" s="99"/>
    </row>
    <row r="1944" spans="1:1">
      <c r="A1944" s="99"/>
    </row>
    <row r="1945" spans="1:1">
      <c r="A1945" s="99"/>
    </row>
    <row r="1946" spans="1:1">
      <c r="A1946" s="99"/>
    </row>
    <row r="1947" spans="1:1">
      <c r="A1947" s="99"/>
    </row>
    <row r="1948" spans="1:1">
      <c r="A1948" s="99"/>
    </row>
    <row r="1949" spans="1:1">
      <c r="A1949" s="99"/>
    </row>
    <row r="1950" spans="1:1">
      <c r="A1950" s="99"/>
    </row>
    <row r="1951" spans="1:1">
      <c r="A1951" s="99"/>
    </row>
    <row r="1952" spans="1:1">
      <c r="A1952" s="99"/>
    </row>
    <row r="1953" spans="1:1">
      <c r="A1953" s="99"/>
    </row>
    <row r="1954" spans="1:1">
      <c r="A1954" s="99"/>
    </row>
    <row r="1955" spans="1:1">
      <c r="A1955" s="99"/>
    </row>
    <row r="1956" spans="1:1">
      <c r="A1956" s="99"/>
    </row>
    <row r="1957" spans="1:1">
      <c r="A1957" s="99"/>
    </row>
    <row r="1958" spans="1:1">
      <c r="A1958" s="99"/>
    </row>
    <row r="1959" spans="1:1">
      <c r="A1959" s="99"/>
    </row>
    <row r="1960" spans="1:1">
      <c r="A1960" s="99"/>
    </row>
    <row r="1961" spans="1:1">
      <c r="A1961" s="99"/>
    </row>
    <row r="1962" spans="1:1">
      <c r="A1962" s="99"/>
    </row>
    <row r="1963" spans="1:1">
      <c r="A1963" s="99"/>
    </row>
    <row r="1964" spans="1:1">
      <c r="A1964" s="99"/>
    </row>
    <row r="1965" spans="1:1">
      <c r="A1965" s="99"/>
    </row>
    <row r="1966" spans="1:1">
      <c r="A1966" s="99"/>
    </row>
    <row r="1967" spans="1:1">
      <c r="A1967" s="99"/>
    </row>
    <row r="1968" spans="1:1">
      <c r="A1968" s="99"/>
    </row>
    <row r="1969" spans="1:1">
      <c r="A1969" s="99"/>
    </row>
    <row r="1970" spans="1:1">
      <c r="A1970" s="99"/>
    </row>
    <row r="1971" spans="1:1">
      <c r="A1971" s="99"/>
    </row>
    <row r="1972" spans="1:1">
      <c r="A1972" s="99"/>
    </row>
    <row r="1973" spans="1:1">
      <c r="A1973" s="99"/>
    </row>
    <row r="1974" spans="1:1">
      <c r="A1974" s="99"/>
    </row>
    <row r="1975" spans="1:1">
      <c r="A1975" s="99"/>
    </row>
    <row r="1976" spans="1:1">
      <c r="A1976" s="99"/>
    </row>
    <row r="1977" spans="1:1">
      <c r="A1977" s="99"/>
    </row>
    <row r="1978" spans="1:1">
      <c r="A1978" s="99"/>
    </row>
    <row r="1979" spans="1:1">
      <c r="A1979" s="99"/>
    </row>
    <row r="1980" spans="1:1">
      <c r="A1980" s="99"/>
    </row>
    <row r="1981" spans="1:1">
      <c r="A1981" s="99"/>
    </row>
    <row r="1982" spans="1:1">
      <c r="A1982" s="99"/>
    </row>
    <row r="1983" spans="1:1">
      <c r="A1983" s="99"/>
    </row>
    <row r="1984" spans="1:1">
      <c r="A1984" s="99"/>
    </row>
    <row r="1985" spans="1:1">
      <c r="A1985" s="99"/>
    </row>
    <row r="1986" spans="1:1">
      <c r="A1986" s="99"/>
    </row>
    <row r="1987" spans="1:1">
      <c r="A1987" s="99"/>
    </row>
    <row r="1988" spans="1:1">
      <c r="A1988" s="99"/>
    </row>
    <row r="1989" spans="1:1">
      <c r="A1989" s="99"/>
    </row>
    <row r="1990" spans="1:1">
      <c r="A1990" s="99"/>
    </row>
    <row r="1991" spans="1:1">
      <c r="A1991" s="99"/>
    </row>
    <row r="1992" spans="1:1">
      <c r="A1992" s="99"/>
    </row>
    <row r="1993" spans="1:1">
      <c r="A1993" s="99"/>
    </row>
    <row r="1994" spans="1:1">
      <c r="A1994" s="99"/>
    </row>
    <row r="1995" spans="1:1">
      <c r="A1995" s="99"/>
    </row>
    <row r="1996" spans="1:1">
      <c r="A1996" s="99"/>
    </row>
    <row r="1997" spans="1:1">
      <c r="A1997" s="99"/>
    </row>
    <row r="1998" spans="1:1">
      <c r="A1998" s="99"/>
    </row>
    <row r="1999" spans="1:1">
      <c r="A1999" s="99"/>
    </row>
    <row r="2000" spans="1:1">
      <c r="A2000" s="99"/>
    </row>
    <row r="2001" spans="1:1">
      <c r="A2001" s="99"/>
    </row>
    <row r="2002" spans="1:1">
      <c r="A2002" s="99"/>
    </row>
    <row r="2003" spans="1:1">
      <c r="A2003" s="99"/>
    </row>
    <row r="2004" spans="1:1">
      <c r="A2004" s="99"/>
    </row>
    <row r="2005" spans="1:1">
      <c r="A2005" s="99"/>
    </row>
    <row r="2006" spans="1:1">
      <c r="A2006" s="99"/>
    </row>
    <row r="2007" spans="1:1">
      <c r="A2007" s="99"/>
    </row>
    <row r="2008" spans="1:1">
      <c r="A2008" s="99"/>
    </row>
    <row r="2009" spans="1:1">
      <c r="A2009" s="99"/>
    </row>
    <row r="2010" spans="1:1">
      <c r="A2010" s="99"/>
    </row>
    <row r="2011" spans="1:1">
      <c r="A2011" s="99"/>
    </row>
    <row r="2012" spans="1:1">
      <c r="A2012" s="99"/>
    </row>
    <row r="2013" spans="1:1">
      <c r="A2013" s="99"/>
    </row>
    <row r="2014" spans="1:1">
      <c r="A2014" s="99"/>
    </row>
    <row r="2015" spans="1:1">
      <c r="A2015" s="99"/>
    </row>
    <row r="2016" spans="1:1">
      <c r="A2016" s="99"/>
    </row>
    <row r="2017" spans="1:1">
      <c r="A2017" s="99"/>
    </row>
    <row r="2018" spans="1:1">
      <c r="A2018" s="99"/>
    </row>
    <row r="2019" spans="1:1">
      <c r="A2019" s="99"/>
    </row>
    <row r="2020" spans="1:1">
      <c r="A2020" s="99"/>
    </row>
    <row r="2021" spans="1:1">
      <c r="A2021" s="99"/>
    </row>
    <row r="2022" spans="1:1">
      <c r="A2022" s="99"/>
    </row>
    <row r="2023" spans="1:1">
      <c r="A2023" s="99"/>
    </row>
    <row r="2024" spans="1:1">
      <c r="A2024" s="99"/>
    </row>
    <row r="2025" spans="1:1">
      <c r="A2025" s="99"/>
    </row>
    <row r="2026" spans="1:1">
      <c r="A2026" s="99"/>
    </row>
    <row r="2027" spans="1:1">
      <c r="A2027" s="99"/>
    </row>
    <row r="2028" spans="1:1">
      <c r="A2028" s="99"/>
    </row>
    <row r="2029" spans="1:1">
      <c r="A2029" s="99"/>
    </row>
    <row r="2030" spans="1:1">
      <c r="A2030" s="99"/>
    </row>
    <row r="2031" spans="1:1">
      <c r="A2031" s="99"/>
    </row>
    <row r="2032" spans="1:1">
      <c r="A2032" s="99"/>
    </row>
    <row r="2033" spans="1:1">
      <c r="A2033" s="99"/>
    </row>
    <row r="2034" spans="1:1">
      <c r="A2034" s="99"/>
    </row>
    <row r="2035" spans="1:1">
      <c r="A2035" s="99"/>
    </row>
    <row r="2036" spans="1:1">
      <c r="A2036" s="99"/>
    </row>
    <row r="2037" spans="1:1">
      <c r="A2037" s="99"/>
    </row>
    <row r="2038" spans="1:1">
      <c r="A2038" s="99"/>
    </row>
    <row r="2039" spans="1:1">
      <c r="A2039" s="99"/>
    </row>
    <row r="2040" spans="1:1">
      <c r="A2040" s="99"/>
    </row>
    <row r="2041" spans="1:1">
      <c r="A2041" s="99"/>
    </row>
    <row r="2042" spans="1:1">
      <c r="A2042" s="99"/>
    </row>
    <row r="2043" spans="1:1">
      <c r="A2043" s="99"/>
    </row>
    <row r="2044" spans="1:1">
      <c r="A2044" s="99"/>
    </row>
    <row r="2045" spans="1:1">
      <c r="A2045" s="99"/>
    </row>
    <row r="2046" spans="1:1">
      <c r="A2046" s="99"/>
    </row>
    <row r="2047" spans="1:1">
      <c r="A2047" s="99"/>
    </row>
    <row r="2048" spans="1:1">
      <c r="A2048" s="99"/>
    </row>
    <row r="2049" spans="1:1">
      <c r="A2049" s="99"/>
    </row>
    <row r="2050" spans="1:1">
      <c r="A2050" s="99"/>
    </row>
    <row r="2051" spans="1:1">
      <c r="A2051" s="99"/>
    </row>
    <row r="2052" spans="1:1">
      <c r="A2052" s="99"/>
    </row>
    <row r="2053" spans="1:1">
      <c r="A2053" s="99"/>
    </row>
    <row r="2054" spans="1:1">
      <c r="A2054" s="99"/>
    </row>
    <row r="2055" spans="1:1">
      <c r="A2055" s="99"/>
    </row>
    <row r="2056" spans="1:1">
      <c r="A2056" s="99"/>
    </row>
    <row r="2057" spans="1:1">
      <c r="A2057" s="99"/>
    </row>
    <row r="2058" spans="1:1">
      <c r="A2058" s="99"/>
    </row>
    <row r="2059" spans="1:1">
      <c r="A2059" s="99"/>
    </row>
    <row r="2060" spans="1:1">
      <c r="A2060" s="99"/>
    </row>
    <row r="2061" spans="1:1">
      <c r="A2061" s="99"/>
    </row>
    <row r="2062" spans="1:1">
      <c r="A2062" s="99"/>
    </row>
    <row r="2063" spans="1:1">
      <c r="A2063" s="99"/>
    </row>
    <row r="2064" spans="1:1">
      <c r="A2064" s="99"/>
    </row>
    <row r="2065" spans="1:1">
      <c r="A2065" s="99"/>
    </row>
    <row r="2066" spans="1:1">
      <c r="A2066" s="99"/>
    </row>
    <row r="2067" spans="1:1">
      <c r="A2067" s="99"/>
    </row>
    <row r="2068" spans="1:1">
      <c r="A2068" s="99"/>
    </row>
    <row r="2069" spans="1:1">
      <c r="A2069" s="99"/>
    </row>
    <row r="2070" spans="1:1">
      <c r="A2070" s="99"/>
    </row>
    <row r="2071" spans="1:1">
      <c r="A2071" s="99"/>
    </row>
    <row r="2072" spans="1:1">
      <c r="A2072" s="99"/>
    </row>
    <row r="2073" spans="1:1">
      <c r="A2073" s="99"/>
    </row>
    <row r="2074" spans="1:1">
      <c r="A2074" s="99"/>
    </row>
    <row r="2075" spans="1:1">
      <c r="A2075" s="99"/>
    </row>
    <row r="2076" spans="1:1">
      <c r="A2076" s="99"/>
    </row>
    <row r="2077" spans="1:1">
      <c r="A2077" s="99"/>
    </row>
    <row r="2078" spans="1:1">
      <c r="A2078" s="99"/>
    </row>
    <row r="2079" spans="1:1">
      <c r="A2079" s="99"/>
    </row>
    <row r="2080" spans="1:1">
      <c r="A2080" s="99"/>
    </row>
    <row r="2081" spans="1:1">
      <c r="A2081" s="99"/>
    </row>
    <row r="2082" spans="1:1">
      <c r="A2082" s="99"/>
    </row>
    <row r="2083" spans="1:1">
      <c r="A2083" s="99"/>
    </row>
    <row r="2084" spans="1:1">
      <c r="A2084" s="99"/>
    </row>
    <row r="2085" spans="1:1">
      <c r="A2085" s="99"/>
    </row>
    <row r="2086" spans="1:1">
      <c r="A2086" s="99"/>
    </row>
    <row r="2087" spans="1:1">
      <c r="A2087" s="99"/>
    </row>
    <row r="2088" spans="1:1">
      <c r="A2088" s="99"/>
    </row>
    <row r="2089" spans="1:1">
      <c r="A2089" s="99"/>
    </row>
    <row r="2090" spans="1:1">
      <c r="A2090" s="99"/>
    </row>
    <row r="2091" spans="1:1">
      <c r="A2091" s="99"/>
    </row>
    <row r="2092" spans="1:1">
      <c r="A2092" s="99"/>
    </row>
    <row r="2093" spans="1:1">
      <c r="A2093" s="99"/>
    </row>
    <row r="2094" spans="1:1">
      <c r="A2094" s="99"/>
    </row>
    <row r="2095" spans="1:1">
      <c r="A2095" s="99"/>
    </row>
    <row r="2096" spans="1:1">
      <c r="A2096" s="99"/>
    </row>
    <row r="2097" spans="1:1">
      <c r="A2097" s="99"/>
    </row>
    <row r="2098" spans="1:1">
      <c r="A2098" s="99"/>
    </row>
    <row r="2099" spans="1:1">
      <c r="A2099" s="99"/>
    </row>
    <row r="2100" spans="1:1">
      <c r="A2100" s="99"/>
    </row>
    <row r="2101" spans="1:1">
      <c r="A2101" s="99"/>
    </row>
    <row r="2102" spans="1:1">
      <c r="A2102" s="99"/>
    </row>
    <row r="2103" spans="1:1">
      <c r="A2103" s="99"/>
    </row>
    <row r="2104" spans="1:1">
      <c r="A2104" s="99"/>
    </row>
    <row r="2105" spans="1:1">
      <c r="A2105" s="99"/>
    </row>
    <row r="2106" spans="1:1">
      <c r="A2106" s="99"/>
    </row>
    <row r="2107" spans="1:1">
      <c r="A2107" s="99"/>
    </row>
    <row r="2108" spans="1:1">
      <c r="A2108" s="99"/>
    </row>
    <row r="2109" spans="1:1">
      <c r="A2109" s="99"/>
    </row>
    <row r="2110" spans="1:1">
      <c r="A2110" s="99"/>
    </row>
    <row r="2111" spans="1:1">
      <c r="A2111" s="99"/>
    </row>
    <row r="2112" spans="1:1">
      <c r="A2112" s="99"/>
    </row>
    <row r="2113" spans="1:1">
      <c r="A2113" s="99"/>
    </row>
    <row r="2114" spans="1:1">
      <c r="A2114" s="99"/>
    </row>
    <row r="2115" spans="1:1">
      <c r="A2115" s="99"/>
    </row>
    <row r="2116" spans="1:1">
      <c r="A2116" s="99"/>
    </row>
    <row r="2117" spans="1:1">
      <c r="A2117" s="99"/>
    </row>
    <row r="2118" spans="1:1">
      <c r="A2118" s="99"/>
    </row>
    <row r="2119" spans="1:1">
      <c r="A2119" s="99"/>
    </row>
    <row r="2120" spans="1:1">
      <c r="A2120" s="99"/>
    </row>
    <row r="2121" spans="1:1">
      <c r="A2121" s="99"/>
    </row>
    <row r="2122" spans="1:1">
      <c r="A2122" s="99"/>
    </row>
    <row r="2123" spans="1:1">
      <c r="A2123" s="99"/>
    </row>
    <row r="2124" spans="1:1">
      <c r="A2124" s="99"/>
    </row>
    <row r="2125" spans="1:1">
      <c r="A2125" s="99"/>
    </row>
    <row r="2126" spans="1:1">
      <c r="A2126" s="99"/>
    </row>
    <row r="2127" spans="1:1">
      <c r="A2127" s="99"/>
    </row>
    <row r="2128" spans="1:1">
      <c r="A2128" s="99"/>
    </row>
    <row r="2129" spans="1:1">
      <c r="A2129" s="99"/>
    </row>
    <row r="2130" spans="1:1">
      <c r="A2130" s="99"/>
    </row>
    <row r="2131" spans="1:1">
      <c r="A2131" s="99"/>
    </row>
    <row r="2132" spans="1:1">
      <c r="A2132" s="99"/>
    </row>
    <row r="2133" spans="1:1">
      <c r="A2133" s="99"/>
    </row>
    <row r="2134" spans="1:1">
      <c r="A2134" s="99"/>
    </row>
    <row r="2135" spans="1:1">
      <c r="A2135" s="99"/>
    </row>
    <row r="2136" spans="1:1">
      <c r="A2136" s="99"/>
    </row>
    <row r="2137" spans="1:1">
      <c r="A2137" s="99"/>
    </row>
    <row r="2138" spans="1:1">
      <c r="A2138" s="99"/>
    </row>
    <row r="2139" spans="1:1">
      <c r="A2139" s="99"/>
    </row>
    <row r="2140" spans="1:1">
      <c r="A2140" s="99"/>
    </row>
    <row r="2141" spans="1:1">
      <c r="A2141" s="99"/>
    </row>
    <row r="2142" spans="1:1">
      <c r="A2142" s="99"/>
    </row>
    <row r="2143" spans="1:1">
      <c r="A2143" s="99"/>
    </row>
    <row r="2144" spans="1:1">
      <c r="A2144" s="99"/>
    </row>
    <row r="2145" spans="1:1">
      <c r="A2145" s="99"/>
    </row>
    <row r="2146" spans="1:1">
      <c r="A2146" s="99"/>
    </row>
    <row r="2147" spans="1:1">
      <c r="A2147" s="99"/>
    </row>
    <row r="2148" spans="1:1">
      <c r="A2148" s="99"/>
    </row>
    <row r="2149" spans="1:1">
      <c r="A2149" s="99"/>
    </row>
    <row r="2150" spans="1:1">
      <c r="A2150" s="99"/>
    </row>
    <row r="2151" spans="1:1">
      <c r="A2151" s="99"/>
    </row>
    <row r="2152" spans="1:1">
      <c r="A2152" s="99"/>
    </row>
    <row r="2153" spans="1:1">
      <c r="A2153" s="99"/>
    </row>
    <row r="2154" spans="1:1">
      <c r="A2154" s="99"/>
    </row>
    <row r="2155" spans="1:1">
      <c r="A2155" s="99"/>
    </row>
    <row r="2156" spans="1:1">
      <c r="A2156" s="99"/>
    </row>
    <row r="2157" spans="1:1">
      <c r="A2157" s="99"/>
    </row>
    <row r="2158" spans="1:1">
      <c r="A2158" s="99"/>
    </row>
    <row r="2159" spans="1:1">
      <c r="A2159" s="99"/>
    </row>
    <row r="2160" spans="1:1">
      <c r="A2160" s="99"/>
    </row>
    <row r="2161" spans="1:1">
      <c r="A2161" s="99"/>
    </row>
    <row r="2162" spans="1:1">
      <c r="A2162" s="99"/>
    </row>
    <row r="2163" spans="1:1">
      <c r="A2163" s="99"/>
    </row>
    <row r="2164" spans="1:1">
      <c r="A2164" s="99"/>
    </row>
    <row r="2165" spans="1:1">
      <c r="A2165" s="99"/>
    </row>
    <row r="2166" spans="1:1">
      <c r="A2166" s="99"/>
    </row>
    <row r="2167" spans="1:1">
      <c r="A2167" s="99"/>
    </row>
    <row r="2168" spans="1:1">
      <c r="A2168" s="99"/>
    </row>
    <row r="2169" spans="1:1">
      <c r="A2169" s="99"/>
    </row>
    <row r="2170" spans="1:1">
      <c r="A2170" s="99"/>
    </row>
    <row r="2171" spans="1:1">
      <c r="A2171" s="99"/>
    </row>
    <row r="2172" spans="1:1">
      <c r="A2172" s="99"/>
    </row>
    <row r="2173" spans="1:1">
      <c r="A2173" s="99"/>
    </row>
    <row r="2174" spans="1:1">
      <c r="A2174" s="99"/>
    </row>
    <row r="2175" spans="1:1">
      <c r="A2175" s="99"/>
    </row>
    <row r="2176" spans="1:1">
      <c r="A2176" s="99"/>
    </row>
    <row r="2177" spans="1:1">
      <c r="A2177" s="99"/>
    </row>
    <row r="2178" spans="1:1">
      <c r="A2178" s="99"/>
    </row>
    <row r="2179" spans="1:1">
      <c r="A2179" s="99"/>
    </row>
    <row r="2180" spans="1:1">
      <c r="A2180" s="99"/>
    </row>
    <row r="2181" spans="1:1">
      <c r="A2181" s="99"/>
    </row>
    <row r="2182" spans="1:1">
      <c r="A2182" s="99"/>
    </row>
    <row r="2183" spans="1:1">
      <c r="A2183" s="99"/>
    </row>
    <row r="2184" spans="1:1">
      <c r="A2184" s="99"/>
    </row>
    <row r="2185" spans="1:1">
      <c r="A2185" s="99"/>
    </row>
    <row r="2186" spans="1:1">
      <c r="A2186" s="99"/>
    </row>
    <row r="2187" spans="1:1">
      <c r="A2187" s="99"/>
    </row>
    <row r="2188" spans="1:1">
      <c r="A2188" s="99"/>
    </row>
    <row r="2189" spans="1:1">
      <c r="A2189" s="99"/>
    </row>
    <row r="2190" spans="1:1">
      <c r="A2190" s="99"/>
    </row>
    <row r="2191" spans="1:1">
      <c r="A2191" s="99"/>
    </row>
    <row r="2192" spans="1:1">
      <c r="A2192" s="99"/>
    </row>
    <row r="2193" spans="1:1">
      <c r="A2193" s="99"/>
    </row>
    <row r="2194" spans="1:1">
      <c r="A2194" s="99"/>
    </row>
    <row r="2195" spans="1:1">
      <c r="A2195" s="99"/>
    </row>
    <row r="2196" spans="1:1">
      <c r="A2196" s="99"/>
    </row>
    <row r="2197" spans="1:1">
      <c r="A2197" s="99"/>
    </row>
    <row r="2198" spans="1:1">
      <c r="A2198" s="99"/>
    </row>
    <row r="2199" spans="1:1">
      <c r="A2199" s="99"/>
    </row>
    <row r="2200" spans="1:1">
      <c r="A2200" s="99"/>
    </row>
    <row r="2201" spans="1:1">
      <c r="A2201" s="99"/>
    </row>
    <row r="2202" spans="1:1">
      <c r="A2202" s="99"/>
    </row>
    <row r="2203" spans="1:1">
      <c r="A2203" s="99"/>
    </row>
    <row r="2204" spans="1:1">
      <c r="A2204" s="99"/>
    </row>
    <row r="2205" spans="1:1">
      <c r="A2205" s="99"/>
    </row>
    <row r="2206" spans="1:1">
      <c r="A2206" s="99"/>
    </row>
    <row r="2207" spans="1:1">
      <c r="A2207" s="99"/>
    </row>
    <row r="2208" spans="1:1">
      <c r="A2208" s="99"/>
    </row>
    <row r="2209" spans="1:1">
      <c r="A2209" s="99"/>
    </row>
    <row r="2210" spans="1:1">
      <c r="A2210" s="99"/>
    </row>
    <row r="2211" spans="1:1">
      <c r="A2211" s="99"/>
    </row>
    <row r="2212" spans="1:1">
      <c r="A2212" s="99"/>
    </row>
    <row r="2213" spans="1:1">
      <c r="A2213" s="99"/>
    </row>
    <row r="2214" spans="1:1">
      <c r="A2214" s="99"/>
    </row>
    <row r="2215" spans="1:1">
      <c r="A2215" s="99"/>
    </row>
    <row r="2216" spans="1:1">
      <c r="A2216" s="99"/>
    </row>
    <row r="2217" spans="1:1">
      <c r="A2217" s="99"/>
    </row>
    <row r="2218" spans="1:1">
      <c r="A2218" s="99"/>
    </row>
    <row r="2219" spans="1:1">
      <c r="A2219" s="99"/>
    </row>
    <row r="2220" spans="1:1">
      <c r="A2220" s="99"/>
    </row>
    <row r="2221" spans="1:1">
      <c r="A2221" s="99"/>
    </row>
    <row r="2222" spans="1:1">
      <c r="A2222" s="99"/>
    </row>
    <row r="2223" spans="1:1">
      <c r="A2223" s="99"/>
    </row>
    <row r="2224" spans="1:1">
      <c r="A2224" s="99"/>
    </row>
    <row r="2225" spans="1:1">
      <c r="A2225" s="99"/>
    </row>
    <row r="2226" spans="1:1">
      <c r="A2226" s="99"/>
    </row>
    <row r="2227" spans="1:1">
      <c r="A2227" s="99"/>
    </row>
    <row r="2228" spans="1:1">
      <c r="A2228" s="99"/>
    </row>
    <row r="2229" spans="1:1">
      <c r="A2229" s="99"/>
    </row>
    <row r="2230" spans="1:1">
      <c r="A2230" s="99"/>
    </row>
    <row r="2231" spans="1:1">
      <c r="A2231" s="99"/>
    </row>
    <row r="2232" spans="1:1">
      <c r="A2232" s="99"/>
    </row>
    <row r="2233" spans="1:1">
      <c r="A2233" s="99"/>
    </row>
    <row r="2234" spans="1:1">
      <c r="A2234" s="99"/>
    </row>
    <row r="2235" spans="1:1">
      <c r="A2235" s="99"/>
    </row>
    <row r="2236" spans="1:1">
      <c r="A2236" s="99"/>
    </row>
    <row r="2237" spans="1:1">
      <c r="A2237" s="99"/>
    </row>
    <row r="2238" spans="1:1">
      <c r="A2238" s="99"/>
    </row>
    <row r="2239" spans="1:1">
      <c r="A2239" s="99"/>
    </row>
    <row r="2240" spans="1:1">
      <c r="A2240" s="99"/>
    </row>
    <row r="2241" spans="1:1">
      <c r="A2241" s="99"/>
    </row>
    <row r="2242" spans="1:1">
      <c r="A2242" s="99"/>
    </row>
    <row r="2243" spans="1:1">
      <c r="A2243" s="99"/>
    </row>
    <row r="2244" spans="1:1">
      <c r="A2244" s="99"/>
    </row>
    <row r="2245" spans="1:1">
      <c r="A2245" s="99"/>
    </row>
    <row r="2246" spans="1:1">
      <c r="A2246" s="99"/>
    </row>
    <row r="2247" spans="1:1">
      <c r="A2247" s="99"/>
    </row>
    <row r="2248" spans="1:1">
      <c r="A2248" s="99"/>
    </row>
    <row r="2249" spans="1:1">
      <c r="A2249" s="99"/>
    </row>
    <row r="2250" spans="1:1">
      <c r="A2250" s="99"/>
    </row>
    <row r="2251" spans="1:1">
      <c r="A2251" s="99"/>
    </row>
    <row r="2252" spans="1:1">
      <c r="A2252" s="99"/>
    </row>
    <row r="2253" spans="1:1">
      <c r="A2253" s="99"/>
    </row>
    <row r="2254" spans="1:1">
      <c r="A2254" s="99"/>
    </row>
    <row r="2255" spans="1:1">
      <c r="A2255" s="99"/>
    </row>
    <row r="2256" spans="1:1">
      <c r="A2256" s="99"/>
    </row>
    <row r="2257" spans="1:1">
      <c r="A2257" s="99"/>
    </row>
    <row r="2258" spans="1:1">
      <c r="A2258" s="99"/>
    </row>
    <row r="2259" spans="1:1">
      <c r="A2259" s="99"/>
    </row>
    <row r="2260" spans="1:1">
      <c r="A2260" s="99"/>
    </row>
    <row r="2261" spans="1:1">
      <c r="A2261" s="99"/>
    </row>
    <row r="2262" spans="1:1">
      <c r="A2262" s="99"/>
    </row>
    <row r="2263" spans="1:1">
      <c r="A2263" s="99"/>
    </row>
    <row r="2264" spans="1:1">
      <c r="A2264" s="99"/>
    </row>
    <row r="2265" spans="1:1">
      <c r="A2265" s="99"/>
    </row>
    <row r="2266" spans="1:1">
      <c r="A2266" s="99"/>
    </row>
    <row r="2267" spans="1:1">
      <c r="A2267" s="99"/>
    </row>
    <row r="2268" spans="1:1">
      <c r="A2268" s="99"/>
    </row>
    <row r="2269" spans="1:1">
      <c r="A2269" s="99"/>
    </row>
    <row r="2270" spans="1:1">
      <c r="A2270" s="99"/>
    </row>
    <row r="2271" spans="1:1">
      <c r="A2271" s="99"/>
    </row>
    <row r="2272" spans="1:1">
      <c r="A2272" s="99"/>
    </row>
    <row r="2273" spans="1:1">
      <c r="A2273" s="99"/>
    </row>
    <row r="2274" spans="1:1">
      <c r="A2274" s="99"/>
    </row>
    <row r="2275" spans="1:1">
      <c r="A2275" s="99"/>
    </row>
    <row r="2276" spans="1:1">
      <c r="A2276" s="99"/>
    </row>
    <row r="2277" spans="1:1">
      <c r="A2277" s="99"/>
    </row>
    <row r="2278" spans="1:1">
      <c r="A2278" s="99"/>
    </row>
    <row r="2279" spans="1:1">
      <c r="A2279" s="99"/>
    </row>
    <row r="2280" spans="1:1">
      <c r="A2280" s="99"/>
    </row>
    <row r="2281" spans="1:1">
      <c r="A2281" s="99"/>
    </row>
    <row r="2282" spans="1:1">
      <c r="A2282" s="99"/>
    </row>
    <row r="2283" spans="1:1">
      <c r="A2283" s="99"/>
    </row>
    <row r="2284" spans="1:1">
      <c r="A2284" s="99"/>
    </row>
    <row r="2285" spans="1:1">
      <c r="A2285" s="99"/>
    </row>
    <row r="2286" spans="1:1">
      <c r="A2286" s="99"/>
    </row>
    <row r="2287" spans="1:1">
      <c r="A2287" s="99"/>
    </row>
    <row r="2288" spans="1:1">
      <c r="A2288" s="99"/>
    </row>
    <row r="2289" spans="1:1">
      <c r="A2289" s="99"/>
    </row>
    <row r="2290" spans="1:1">
      <c r="A2290" s="99"/>
    </row>
    <row r="2291" spans="1:1">
      <c r="A2291" s="99"/>
    </row>
    <row r="2292" spans="1:1">
      <c r="A2292" s="99"/>
    </row>
    <row r="2293" spans="1:1">
      <c r="A2293" s="99"/>
    </row>
    <row r="2294" spans="1:1">
      <c r="A2294" s="99"/>
    </row>
    <row r="2295" spans="1:1">
      <c r="A2295" s="99"/>
    </row>
    <row r="2296" spans="1:1">
      <c r="A2296" s="99"/>
    </row>
    <row r="2297" spans="1:1">
      <c r="A2297" s="99"/>
    </row>
    <row r="2298" spans="1:1">
      <c r="A2298" s="99"/>
    </row>
    <row r="2299" spans="1:1">
      <c r="A2299" s="99"/>
    </row>
    <row r="2300" spans="1:1">
      <c r="A2300" s="99"/>
    </row>
    <row r="2301" spans="1:1">
      <c r="A2301" s="99"/>
    </row>
    <row r="2302" spans="1:1">
      <c r="A2302" s="99"/>
    </row>
    <row r="2303" spans="1:1">
      <c r="A2303" s="99"/>
    </row>
    <row r="2304" spans="1:1">
      <c r="A2304" s="99"/>
    </row>
    <row r="2305" spans="1:1">
      <c r="A2305" s="99"/>
    </row>
    <row r="2306" spans="1:1">
      <c r="A2306" s="99"/>
    </row>
    <row r="2307" spans="1:1">
      <c r="A2307" s="99"/>
    </row>
    <row r="2308" spans="1:1">
      <c r="A2308" s="99"/>
    </row>
    <row r="2309" spans="1:1">
      <c r="A2309" s="99"/>
    </row>
    <row r="2310" spans="1:1">
      <c r="A2310" s="99"/>
    </row>
    <row r="2311" spans="1:1">
      <c r="A2311" s="99"/>
    </row>
    <row r="2312" spans="1:1">
      <c r="A2312" s="99"/>
    </row>
    <row r="2313" spans="1:1">
      <c r="A2313" s="99"/>
    </row>
    <row r="2314" spans="1:1">
      <c r="A2314" s="99"/>
    </row>
    <row r="2315" spans="1:1">
      <c r="A2315" s="99"/>
    </row>
    <row r="2316" spans="1:1">
      <c r="A2316" s="99"/>
    </row>
    <row r="2317" spans="1:1">
      <c r="A2317" s="99"/>
    </row>
    <row r="2318" spans="1:1">
      <c r="A2318" s="99"/>
    </row>
    <row r="2319" spans="1:1">
      <c r="A2319" s="99"/>
    </row>
    <row r="2320" spans="1:1">
      <c r="A2320" s="99"/>
    </row>
    <row r="2321" spans="1:1">
      <c r="A2321" s="99"/>
    </row>
    <row r="2322" spans="1:1">
      <c r="A2322" s="99"/>
    </row>
    <row r="2323" spans="1:1">
      <c r="A2323" s="99"/>
    </row>
    <row r="2324" spans="1:1">
      <c r="A2324" s="99"/>
    </row>
    <row r="2325" spans="1:1">
      <c r="A2325" s="99"/>
    </row>
    <row r="2326" spans="1:1">
      <c r="A2326" s="99"/>
    </row>
    <row r="2327" spans="1:1">
      <c r="A2327" s="99"/>
    </row>
    <row r="2328" spans="1:1">
      <c r="A2328" s="99"/>
    </row>
    <row r="2329" spans="1:1">
      <c r="A2329" s="99"/>
    </row>
    <row r="2330" spans="1:1">
      <c r="A2330" s="99"/>
    </row>
    <row r="2331" spans="1:1">
      <c r="A2331" s="99"/>
    </row>
    <row r="2332" spans="1:1">
      <c r="A2332" s="99"/>
    </row>
    <row r="2333" spans="1:1">
      <c r="A2333" s="99"/>
    </row>
    <row r="2334" spans="1:1">
      <c r="A2334" s="99"/>
    </row>
    <row r="2335" spans="1:1">
      <c r="A2335" s="99"/>
    </row>
    <row r="2336" spans="1:1">
      <c r="A2336" s="99"/>
    </row>
    <row r="2337" spans="1:1">
      <c r="A2337" s="99"/>
    </row>
    <row r="2338" spans="1:1">
      <c r="A2338" s="99"/>
    </row>
    <row r="2339" spans="1:1">
      <c r="A2339" s="99"/>
    </row>
    <row r="2340" spans="1:1">
      <c r="A2340" s="99"/>
    </row>
    <row r="2341" spans="1:1">
      <c r="A2341" s="99"/>
    </row>
    <row r="2342" spans="1:1">
      <c r="A2342" s="99"/>
    </row>
    <row r="2343" spans="1:1">
      <c r="A2343" s="99"/>
    </row>
    <row r="2344" spans="1:1">
      <c r="A2344" s="99"/>
    </row>
    <row r="2345" spans="1:1">
      <c r="A2345" s="99"/>
    </row>
    <row r="2346" spans="1:1">
      <c r="A2346" s="99"/>
    </row>
    <row r="2347" spans="1:1">
      <c r="A2347" s="99"/>
    </row>
    <row r="2348" spans="1:1">
      <c r="A2348" s="99"/>
    </row>
    <row r="2349" spans="1:1">
      <c r="A2349" s="99"/>
    </row>
    <row r="2350" spans="1:1">
      <c r="A2350" s="99"/>
    </row>
    <row r="2351" spans="1:1">
      <c r="A2351" s="99"/>
    </row>
    <row r="2352" spans="1:1">
      <c r="A2352" s="99"/>
    </row>
    <row r="2353" spans="1:1">
      <c r="A2353" s="99"/>
    </row>
    <row r="2354" spans="1:1">
      <c r="A2354" s="99"/>
    </row>
    <row r="2355" spans="1:1">
      <c r="A2355" s="99"/>
    </row>
    <row r="2356" spans="1:1">
      <c r="A2356" s="99"/>
    </row>
    <row r="2357" spans="1:1">
      <c r="A2357" s="99"/>
    </row>
    <row r="2358" spans="1:1">
      <c r="A2358" s="99"/>
    </row>
    <row r="2359" spans="1:1">
      <c r="A2359" s="99"/>
    </row>
    <row r="2360" spans="1:1">
      <c r="A2360" s="99"/>
    </row>
    <row r="2361" spans="1:1">
      <c r="A2361" s="99"/>
    </row>
    <row r="2362" spans="1:1">
      <c r="A2362" s="99"/>
    </row>
    <row r="2363" spans="1:1">
      <c r="A2363" s="99"/>
    </row>
    <row r="2364" spans="1:1">
      <c r="A2364" s="99"/>
    </row>
    <row r="2365" spans="1:1">
      <c r="A2365" s="99"/>
    </row>
    <row r="2366" spans="1:1">
      <c r="A2366" s="99"/>
    </row>
    <row r="2367" spans="1:1">
      <c r="A2367" s="99"/>
    </row>
    <row r="2368" spans="1:1">
      <c r="A2368" s="99"/>
    </row>
    <row r="2369" spans="1:1">
      <c r="A2369" s="99"/>
    </row>
    <row r="2370" spans="1:1">
      <c r="A2370" s="99"/>
    </row>
    <row r="2371" spans="1:1">
      <c r="A2371" s="99"/>
    </row>
    <row r="2372" spans="1:1">
      <c r="A2372" s="99"/>
    </row>
    <row r="2373" spans="1:1">
      <c r="A2373" s="99"/>
    </row>
    <row r="2374" spans="1:1">
      <c r="A2374" s="99"/>
    </row>
    <row r="2375" spans="1:1">
      <c r="A2375" s="99"/>
    </row>
    <row r="2376" spans="1:1">
      <c r="A2376" s="99"/>
    </row>
    <row r="2377" spans="1:1">
      <c r="A2377" s="99"/>
    </row>
    <row r="2378" spans="1:1">
      <c r="A2378" s="99"/>
    </row>
    <row r="2379" spans="1:1">
      <c r="A2379" s="99"/>
    </row>
    <row r="2380" spans="1:1">
      <c r="A2380" s="99"/>
    </row>
    <row r="2381" spans="1:1">
      <c r="A2381" s="99"/>
    </row>
    <row r="2382" spans="1:1">
      <c r="A2382" s="99"/>
    </row>
    <row r="2383" spans="1:1">
      <c r="A2383" s="99"/>
    </row>
    <row r="2384" spans="1:1">
      <c r="A2384" s="99"/>
    </row>
    <row r="2385" spans="1:1">
      <c r="A2385" s="99"/>
    </row>
    <row r="2386" spans="1:1">
      <c r="A2386" s="99"/>
    </row>
    <row r="2387" spans="1:1">
      <c r="A2387" s="99"/>
    </row>
    <row r="2388" spans="1:1">
      <c r="A2388" s="99"/>
    </row>
    <row r="2389" spans="1:1">
      <c r="A2389" s="99"/>
    </row>
    <row r="2390" spans="1:1">
      <c r="A2390" s="99"/>
    </row>
    <row r="2391" spans="1:1">
      <c r="A2391" s="99"/>
    </row>
    <row r="2392" spans="1:1">
      <c r="A2392" s="99"/>
    </row>
    <row r="2393" spans="1:1">
      <c r="A2393" s="99"/>
    </row>
    <row r="2394" spans="1:1">
      <c r="A2394" s="99"/>
    </row>
    <row r="2395" spans="1:1">
      <c r="A2395" s="99"/>
    </row>
    <row r="2396" spans="1:1">
      <c r="A2396" s="99"/>
    </row>
    <row r="2397" spans="1:1">
      <c r="A2397" s="99"/>
    </row>
    <row r="2398" spans="1:1">
      <c r="A2398" s="99"/>
    </row>
    <row r="2399" spans="1:1">
      <c r="A2399" s="99"/>
    </row>
    <row r="2400" spans="1:1">
      <c r="A2400" s="99"/>
    </row>
    <row r="2401" spans="1:1">
      <c r="A2401" s="99"/>
    </row>
    <row r="2402" spans="1:1">
      <c r="A2402" s="99"/>
    </row>
    <row r="2403" spans="1:1">
      <c r="A2403" s="99"/>
    </row>
    <row r="2404" spans="1:1">
      <c r="A2404" s="99"/>
    </row>
    <row r="2405" spans="1:1">
      <c r="A2405" s="99"/>
    </row>
    <row r="2406" spans="1:1">
      <c r="A2406" s="99"/>
    </row>
    <row r="2407" spans="1:1">
      <c r="A2407" s="99"/>
    </row>
    <row r="2408" spans="1:1">
      <c r="A2408" s="99"/>
    </row>
    <row r="2409" spans="1:1">
      <c r="A2409" s="99"/>
    </row>
    <row r="2410" spans="1:1">
      <c r="A2410" s="99"/>
    </row>
    <row r="2411" spans="1:1">
      <c r="A2411" s="99"/>
    </row>
    <row r="2412" spans="1:1">
      <c r="A2412" s="99"/>
    </row>
    <row r="2413" spans="1:1">
      <c r="A2413" s="99"/>
    </row>
    <row r="2414" spans="1:1">
      <c r="A2414" s="99"/>
    </row>
    <row r="2415" spans="1:1">
      <c r="A2415" s="99"/>
    </row>
    <row r="2416" spans="1:1">
      <c r="A2416" s="99"/>
    </row>
    <row r="2417" spans="1:1">
      <c r="A2417" s="99"/>
    </row>
    <row r="2418" spans="1:1">
      <c r="A2418" s="99"/>
    </row>
    <row r="2419" spans="1:1">
      <c r="A2419" s="99"/>
    </row>
    <row r="2420" spans="1:1">
      <c r="A2420" s="99"/>
    </row>
    <row r="2421" spans="1:1">
      <c r="A2421" s="99"/>
    </row>
    <row r="2422" spans="1:1">
      <c r="A2422" s="99"/>
    </row>
    <row r="2423" spans="1:1">
      <c r="A2423" s="99"/>
    </row>
    <row r="2424" spans="1:1">
      <c r="A2424" s="99"/>
    </row>
    <row r="2425" spans="1:1">
      <c r="A2425" s="99"/>
    </row>
    <row r="2426" spans="1:1">
      <c r="A2426" s="99"/>
    </row>
    <row r="2427" spans="1:1">
      <c r="A2427" s="99"/>
    </row>
    <row r="2428" spans="1:1">
      <c r="A2428" s="99"/>
    </row>
    <row r="2429" spans="1:1">
      <c r="A2429" s="99"/>
    </row>
    <row r="2430" spans="1:1">
      <c r="A2430" s="99"/>
    </row>
    <row r="2431" spans="1:1">
      <c r="A2431" s="99"/>
    </row>
    <row r="2432" spans="1:1">
      <c r="A2432" s="99"/>
    </row>
    <row r="2433" spans="1:1">
      <c r="A2433" s="99"/>
    </row>
    <row r="2434" spans="1:1">
      <c r="A2434" s="99"/>
    </row>
    <row r="2435" spans="1:1">
      <c r="A2435" s="99"/>
    </row>
    <row r="2436" spans="1:1">
      <c r="A2436" s="99"/>
    </row>
    <row r="2437" spans="1:1">
      <c r="A2437" s="99"/>
    </row>
    <row r="2438" spans="1:1">
      <c r="A2438" s="99"/>
    </row>
    <row r="2439" spans="1:1">
      <c r="A2439" s="99"/>
    </row>
    <row r="2440" spans="1:1">
      <c r="A2440" s="99"/>
    </row>
    <row r="2441" spans="1:1">
      <c r="A2441" s="99"/>
    </row>
    <row r="2442" spans="1:1">
      <c r="A2442" s="99"/>
    </row>
    <row r="2443" spans="1:1">
      <c r="A2443" s="99"/>
    </row>
    <row r="2444" spans="1:1">
      <c r="A2444" s="99"/>
    </row>
    <row r="2445" spans="1:1">
      <c r="A2445" s="99"/>
    </row>
    <row r="2446" spans="1:1">
      <c r="A2446" s="99"/>
    </row>
    <row r="2447" spans="1:1">
      <c r="A2447" s="99"/>
    </row>
    <row r="2448" spans="1:1">
      <c r="A2448" s="99"/>
    </row>
    <row r="2449" spans="1:1">
      <c r="A2449" s="99"/>
    </row>
    <row r="2450" spans="1:1">
      <c r="A2450" s="99"/>
    </row>
    <row r="2451" spans="1:1">
      <c r="A2451" s="99"/>
    </row>
    <row r="2452" spans="1:1">
      <c r="A2452" s="99"/>
    </row>
    <row r="2453" spans="1:1">
      <c r="A2453" s="99"/>
    </row>
    <row r="2454" spans="1:1">
      <c r="A2454" s="99"/>
    </row>
    <row r="2455" spans="1:1">
      <c r="A2455" s="99"/>
    </row>
    <row r="2456" spans="1:1">
      <c r="A2456" s="99"/>
    </row>
    <row r="2457" spans="1:1">
      <c r="A2457" s="99"/>
    </row>
    <row r="2458" spans="1:1">
      <c r="A2458" s="99"/>
    </row>
    <row r="2459" spans="1:1">
      <c r="A2459" s="99"/>
    </row>
    <row r="2460" spans="1:1">
      <c r="A2460" s="99"/>
    </row>
    <row r="2461" spans="1:1">
      <c r="A2461" s="99"/>
    </row>
    <row r="2462" spans="1:1">
      <c r="A2462" s="99"/>
    </row>
    <row r="2463" spans="1:1">
      <c r="A2463" s="99"/>
    </row>
    <row r="2464" spans="1:1">
      <c r="A2464" s="99"/>
    </row>
    <row r="2465" spans="1:1">
      <c r="A2465" s="99"/>
    </row>
    <row r="2466" spans="1:1">
      <c r="A2466" s="99"/>
    </row>
    <row r="2467" spans="1:1">
      <c r="A2467" s="99"/>
    </row>
    <row r="2468" spans="1:1">
      <c r="A2468" s="99"/>
    </row>
    <row r="2469" spans="1:1">
      <c r="A2469" s="99"/>
    </row>
    <row r="2470" spans="1:1">
      <c r="A2470" s="99"/>
    </row>
    <row r="2471" spans="1:1">
      <c r="A2471" s="99"/>
    </row>
    <row r="2472" spans="1:1">
      <c r="A2472" s="99"/>
    </row>
    <row r="2473" spans="1:1">
      <c r="A2473" s="99"/>
    </row>
    <row r="2474" spans="1:1">
      <c r="A2474" s="99"/>
    </row>
    <row r="2475" spans="1:1">
      <c r="A2475" s="99"/>
    </row>
    <row r="2476" spans="1:1">
      <c r="A2476" s="99"/>
    </row>
    <row r="2477" spans="1:1">
      <c r="A2477" s="99"/>
    </row>
    <row r="2478" spans="1:1">
      <c r="A2478" s="99"/>
    </row>
    <row r="2479" spans="1:1">
      <c r="A2479" s="99"/>
    </row>
    <row r="2480" spans="1:1">
      <c r="A2480" s="99"/>
    </row>
    <row r="2481" spans="1:1">
      <c r="A2481" s="99"/>
    </row>
    <row r="2482" spans="1:1">
      <c r="A2482" s="99"/>
    </row>
    <row r="2483" spans="1:1">
      <c r="A2483" s="99"/>
    </row>
    <row r="2484" spans="1:1">
      <c r="A2484" s="99"/>
    </row>
    <row r="2485" spans="1:1">
      <c r="A2485" s="99"/>
    </row>
    <row r="2486" spans="1:1">
      <c r="A2486" s="99"/>
    </row>
    <row r="2487" spans="1:1">
      <c r="A2487" s="99"/>
    </row>
    <row r="2488" spans="1:1">
      <c r="A2488" s="99"/>
    </row>
    <row r="2489" spans="1:1">
      <c r="A2489" s="99"/>
    </row>
    <row r="2490" spans="1:1">
      <c r="A2490" s="99"/>
    </row>
    <row r="2491" spans="1:1">
      <c r="A2491" s="99"/>
    </row>
    <row r="2492" spans="1:1">
      <c r="A2492" s="99"/>
    </row>
    <row r="2493" spans="1:1">
      <c r="A2493" s="99"/>
    </row>
    <row r="2494" spans="1:1">
      <c r="A2494" s="99"/>
    </row>
    <row r="2495" spans="1:1">
      <c r="A2495" s="99"/>
    </row>
    <row r="2496" spans="1:1">
      <c r="A2496" s="99"/>
    </row>
    <row r="2497" spans="1:1">
      <c r="A2497" s="99"/>
    </row>
    <row r="2498" spans="1:1">
      <c r="A2498" s="99"/>
    </row>
    <row r="2499" spans="1:1">
      <c r="A2499" s="99"/>
    </row>
    <row r="2500" spans="1:1">
      <c r="A2500" s="99"/>
    </row>
    <row r="2501" spans="1:1">
      <c r="A2501" s="99"/>
    </row>
    <row r="2502" spans="1:1">
      <c r="A2502" s="99"/>
    </row>
    <row r="2503" spans="1:1">
      <c r="A2503" s="99"/>
    </row>
    <row r="2504" spans="1:1">
      <c r="A2504" s="99"/>
    </row>
    <row r="2505" spans="1:1">
      <c r="A2505" s="99"/>
    </row>
    <row r="2506" spans="1:1">
      <c r="A2506" s="99"/>
    </row>
    <row r="2507" spans="1:1">
      <c r="A2507" s="99"/>
    </row>
    <row r="2508" spans="1:1">
      <c r="A2508" s="99"/>
    </row>
    <row r="2509" spans="1:1">
      <c r="A2509" s="99"/>
    </row>
    <row r="2510" spans="1:1">
      <c r="A2510" s="99"/>
    </row>
    <row r="2511" spans="1:1">
      <c r="A2511" s="99"/>
    </row>
    <row r="2512" spans="1:1">
      <c r="A2512" s="99"/>
    </row>
    <row r="2513" spans="1:1">
      <c r="A2513" s="99"/>
    </row>
    <row r="2514" spans="1:1">
      <c r="A2514" s="99"/>
    </row>
    <row r="2515" spans="1:1">
      <c r="A2515" s="99"/>
    </row>
    <row r="2516" spans="1:1">
      <c r="A2516" s="99"/>
    </row>
    <row r="2517" spans="1:1">
      <c r="A2517" s="99"/>
    </row>
    <row r="2518" spans="1:1">
      <c r="A2518" s="99"/>
    </row>
    <row r="2519" spans="1:1">
      <c r="A2519" s="99"/>
    </row>
    <row r="2520" spans="1:1">
      <c r="A2520" s="99"/>
    </row>
    <row r="2521" spans="1:1">
      <c r="A2521" s="99"/>
    </row>
    <row r="2522" spans="1:1">
      <c r="A2522" s="99"/>
    </row>
    <row r="2523" spans="1:1">
      <c r="A2523" s="99"/>
    </row>
    <row r="2524" spans="1:1">
      <c r="A2524" s="99"/>
    </row>
    <row r="2525" spans="1:1">
      <c r="A2525" s="99"/>
    </row>
    <row r="2526" spans="1:1">
      <c r="A2526" s="99"/>
    </row>
    <row r="2527" spans="1:1">
      <c r="A2527" s="99"/>
    </row>
    <row r="2528" spans="1:1">
      <c r="A2528" s="99"/>
    </row>
    <row r="2529" spans="1:1">
      <c r="A2529" s="99"/>
    </row>
    <row r="2530" spans="1:1">
      <c r="A2530" s="99"/>
    </row>
    <row r="2531" spans="1:1">
      <c r="A2531" s="99"/>
    </row>
    <row r="2532" spans="1:1">
      <c r="A2532" s="99"/>
    </row>
    <row r="2533" spans="1:1">
      <c r="A2533" s="99"/>
    </row>
    <row r="2534" spans="1:1">
      <c r="A2534" s="99"/>
    </row>
    <row r="2535" spans="1:1">
      <c r="A2535" s="99"/>
    </row>
    <row r="2536" spans="1:1">
      <c r="A2536" s="99"/>
    </row>
    <row r="2537" spans="1:1">
      <c r="A2537" s="99"/>
    </row>
    <row r="2538" spans="1:1">
      <c r="A2538" s="99"/>
    </row>
    <row r="2539" spans="1:1">
      <c r="A2539" s="99"/>
    </row>
    <row r="2540" spans="1:1">
      <c r="A2540" s="99"/>
    </row>
    <row r="2541" spans="1:1">
      <c r="A2541" s="99"/>
    </row>
    <row r="2542" spans="1:1">
      <c r="A2542" s="99"/>
    </row>
    <row r="2543" spans="1:1">
      <c r="A2543" s="99"/>
    </row>
    <row r="2544" spans="1:1">
      <c r="A2544" s="99"/>
    </row>
    <row r="2545" spans="1:1">
      <c r="A2545" s="99"/>
    </row>
    <row r="2546" spans="1:1">
      <c r="A2546" s="99"/>
    </row>
    <row r="2547" spans="1:1">
      <c r="A2547" s="99"/>
    </row>
    <row r="2548" spans="1:1">
      <c r="A2548" s="99"/>
    </row>
    <row r="2549" spans="1:1">
      <c r="A2549" s="99"/>
    </row>
    <row r="2550" spans="1:1">
      <c r="A2550" s="99"/>
    </row>
    <row r="2551" spans="1:1">
      <c r="A2551" s="99"/>
    </row>
    <row r="2552" spans="1:1">
      <c r="A2552" s="99"/>
    </row>
    <row r="2553" spans="1:1">
      <c r="A2553" s="99"/>
    </row>
    <row r="2554" spans="1:1">
      <c r="A2554" s="99"/>
    </row>
    <row r="2555" spans="1:1">
      <c r="A2555" s="99"/>
    </row>
    <row r="2556" spans="1:1">
      <c r="A2556" s="99"/>
    </row>
    <row r="2557" spans="1:1">
      <c r="A2557" s="99"/>
    </row>
    <row r="2558" spans="1:1">
      <c r="A2558" s="99"/>
    </row>
    <row r="2559" spans="1:1">
      <c r="A2559" s="99"/>
    </row>
    <row r="2560" spans="1:1">
      <c r="A2560" s="99"/>
    </row>
    <row r="2561" spans="1:1">
      <c r="A2561" s="99"/>
    </row>
    <row r="2562" spans="1:1">
      <c r="A2562" s="99"/>
    </row>
    <row r="2563" spans="1:1">
      <c r="A2563" s="99"/>
    </row>
    <row r="2564" spans="1:1">
      <c r="A2564" s="99"/>
    </row>
    <row r="2565" spans="1:1">
      <c r="A2565" s="99"/>
    </row>
    <row r="2566" spans="1:1">
      <c r="A2566" s="99"/>
    </row>
    <row r="2567" spans="1:1">
      <c r="A2567" s="99"/>
    </row>
    <row r="2568" spans="1:1">
      <c r="A2568" s="99"/>
    </row>
    <row r="2569" spans="1:1">
      <c r="A2569" s="99"/>
    </row>
    <row r="2570" spans="1:1">
      <c r="A2570" s="99"/>
    </row>
    <row r="2571" spans="1:1">
      <c r="A2571" s="99"/>
    </row>
    <row r="2572" spans="1:1">
      <c r="A2572" s="99"/>
    </row>
    <row r="2573" spans="1:1">
      <c r="A2573" s="99"/>
    </row>
    <row r="2574" spans="1:1">
      <c r="A2574" s="99"/>
    </row>
    <row r="2575" spans="1:1">
      <c r="A2575" s="99"/>
    </row>
    <row r="2576" spans="1:1">
      <c r="A2576" s="99"/>
    </row>
    <row r="2577" spans="1:1">
      <c r="A2577" s="99"/>
    </row>
    <row r="2578" spans="1:1">
      <c r="A2578" s="99"/>
    </row>
    <row r="2579" spans="1:1">
      <c r="A2579" s="99"/>
    </row>
    <row r="2580" spans="1:1">
      <c r="A2580" s="99"/>
    </row>
    <row r="2581" spans="1:1">
      <c r="A2581" s="99"/>
    </row>
    <row r="2582" spans="1:1">
      <c r="A2582" s="99"/>
    </row>
    <row r="2583" spans="1:1">
      <c r="A2583" s="99"/>
    </row>
    <row r="2584" spans="1:1">
      <c r="A2584" s="99"/>
    </row>
    <row r="2585" spans="1:1">
      <c r="A2585" s="99"/>
    </row>
    <row r="2586" spans="1:1">
      <c r="A2586" s="99"/>
    </row>
    <row r="2587" spans="1:1">
      <c r="A2587" s="99"/>
    </row>
    <row r="2588" spans="1:1">
      <c r="A2588" s="99"/>
    </row>
    <row r="2589" spans="1:1">
      <c r="A2589" s="99"/>
    </row>
    <row r="2590" spans="1:1">
      <c r="A2590" s="99"/>
    </row>
    <row r="2591" spans="1:1">
      <c r="A2591" s="99"/>
    </row>
    <row r="2592" spans="1:1">
      <c r="A2592" s="99"/>
    </row>
    <row r="2593" spans="1:1">
      <c r="A2593" s="99"/>
    </row>
    <row r="2594" spans="1:1">
      <c r="A2594" s="99"/>
    </row>
    <row r="2595" spans="1:1">
      <c r="A2595" s="99"/>
    </row>
    <row r="2596" spans="1:1">
      <c r="A2596" s="99"/>
    </row>
    <row r="2597" spans="1:1">
      <c r="A2597" s="99"/>
    </row>
    <row r="2598" spans="1:1">
      <c r="A2598" s="99"/>
    </row>
    <row r="2599" spans="1:1">
      <c r="A2599" s="99"/>
    </row>
    <row r="2600" spans="1:1">
      <c r="A2600" s="99"/>
    </row>
    <row r="2601" spans="1:1">
      <c r="A2601" s="99"/>
    </row>
    <row r="2602" spans="1:1">
      <c r="A2602" s="99"/>
    </row>
    <row r="2603" spans="1:1">
      <c r="A2603" s="99"/>
    </row>
    <row r="2604" spans="1:1">
      <c r="A2604" s="99"/>
    </row>
    <row r="2605" spans="1:1">
      <c r="A2605" s="99"/>
    </row>
    <row r="2606" spans="1:1">
      <c r="A2606" s="99"/>
    </row>
    <row r="2607" spans="1:1">
      <c r="A2607" s="99"/>
    </row>
    <row r="2608" spans="1:1">
      <c r="A2608" s="99"/>
    </row>
    <row r="2609" spans="1:1">
      <c r="A2609" s="99"/>
    </row>
    <row r="2610" spans="1:1">
      <c r="A2610" s="99"/>
    </row>
    <row r="2611" spans="1:1">
      <c r="A2611" s="99"/>
    </row>
    <row r="2612" spans="1:1">
      <c r="A2612" s="99"/>
    </row>
    <row r="2613" spans="1:1">
      <c r="A2613" s="99"/>
    </row>
    <row r="2614" spans="1:1">
      <c r="A2614" s="99"/>
    </row>
    <row r="2615" spans="1:1">
      <c r="A2615" s="99"/>
    </row>
    <row r="2616" spans="1:1">
      <c r="A2616" s="99"/>
    </row>
    <row r="2617" spans="1:1">
      <c r="A2617" s="99"/>
    </row>
    <row r="2618" spans="1:1">
      <c r="A2618" s="99"/>
    </row>
    <row r="2619" spans="1:1">
      <c r="A2619" s="99"/>
    </row>
    <row r="2620" spans="1:1">
      <c r="A2620" s="99"/>
    </row>
    <row r="2621" spans="1:1">
      <c r="A2621" s="99"/>
    </row>
    <row r="2622" spans="1:1">
      <c r="A2622" s="99"/>
    </row>
    <row r="2623" spans="1:1">
      <c r="A2623" s="99"/>
    </row>
    <row r="2624" spans="1:1">
      <c r="A2624" s="99"/>
    </row>
    <row r="2625" spans="1:1">
      <c r="A2625" s="99"/>
    </row>
    <row r="2626" spans="1:1">
      <c r="A2626" s="99"/>
    </row>
    <row r="2627" spans="1:1">
      <c r="A2627" s="99"/>
    </row>
    <row r="2628" spans="1:1">
      <c r="A2628" s="99"/>
    </row>
    <row r="2629" spans="1:1">
      <c r="A2629" s="99"/>
    </row>
    <row r="2630" spans="1:1">
      <c r="A2630" s="99"/>
    </row>
    <row r="2631" spans="1:1">
      <c r="A2631" s="99"/>
    </row>
    <row r="2632" spans="1:1">
      <c r="A2632" s="99"/>
    </row>
    <row r="2633" spans="1:1">
      <c r="A2633" s="99"/>
    </row>
    <row r="2634" spans="1:1">
      <c r="A2634" s="99"/>
    </row>
    <row r="2635" spans="1:1">
      <c r="A2635" s="99"/>
    </row>
    <row r="2636" spans="1:1">
      <c r="A2636" s="99"/>
    </row>
    <row r="2637" spans="1:1">
      <c r="A2637" s="99"/>
    </row>
    <row r="2638" spans="1:1">
      <c r="A2638" s="99"/>
    </row>
    <row r="2639" spans="1:1">
      <c r="A2639" s="99"/>
    </row>
    <row r="2640" spans="1:1">
      <c r="A2640" s="99"/>
    </row>
    <row r="2641" spans="1:1">
      <c r="A2641" s="99"/>
    </row>
    <row r="2642" spans="1:1">
      <c r="A2642" s="99"/>
    </row>
    <row r="2643" spans="1:1">
      <c r="A2643" s="99"/>
    </row>
    <row r="2644" spans="1:1">
      <c r="A2644" s="99"/>
    </row>
    <row r="2645" spans="1:1">
      <c r="A2645" s="99"/>
    </row>
    <row r="2646" spans="1:1">
      <c r="A2646" s="99"/>
    </row>
    <row r="2647" spans="1:1">
      <c r="A2647" s="99"/>
    </row>
    <row r="2648" spans="1:1">
      <c r="A2648" s="99"/>
    </row>
    <row r="2649" spans="1:1">
      <c r="A2649" s="99"/>
    </row>
    <row r="2650" spans="1:1">
      <c r="A2650" s="99"/>
    </row>
    <row r="2651" spans="1:1">
      <c r="A2651" s="99"/>
    </row>
    <row r="2652" spans="1:1">
      <c r="A2652" s="99"/>
    </row>
    <row r="2653" spans="1:1">
      <c r="A2653" s="99"/>
    </row>
    <row r="2654" spans="1:1">
      <c r="A2654" s="99"/>
    </row>
    <row r="2655" spans="1:1">
      <c r="A2655" s="99"/>
    </row>
    <row r="2656" spans="1:1">
      <c r="A2656" s="99"/>
    </row>
    <row r="2657" spans="1:1">
      <c r="A2657" s="99"/>
    </row>
    <row r="2658" spans="1:1">
      <c r="A2658" s="99"/>
    </row>
    <row r="2659" spans="1:1">
      <c r="A2659" s="99"/>
    </row>
    <row r="2660" spans="1:1">
      <c r="A2660" s="99"/>
    </row>
    <row r="2661" spans="1:1">
      <c r="A2661" s="99"/>
    </row>
    <row r="2662" spans="1:1">
      <c r="A2662" s="99"/>
    </row>
    <row r="2663" spans="1:1">
      <c r="A2663" s="99"/>
    </row>
    <row r="2664" spans="1:1">
      <c r="A2664" s="99"/>
    </row>
    <row r="2665" spans="1:1">
      <c r="A2665" s="99"/>
    </row>
    <row r="2666" spans="1:1">
      <c r="A2666" s="99"/>
    </row>
    <row r="2667" spans="1:1">
      <c r="A2667" s="99"/>
    </row>
    <row r="2668" spans="1:1">
      <c r="A2668" s="99"/>
    </row>
    <row r="2669" spans="1:1">
      <c r="A2669" s="99"/>
    </row>
    <row r="2670" spans="1:1">
      <c r="A2670" s="99"/>
    </row>
    <row r="2671" spans="1:1">
      <c r="A2671" s="99"/>
    </row>
    <row r="2672" spans="1:1">
      <c r="A2672" s="99"/>
    </row>
    <row r="2673" spans="1:1">
      <c r="A2673" s="99"/>
    </row>
    <row r="2674" spans="1:1">
      <c r="A2674" s="99"/>
    </row>
    <row r="2675" spans="1:1">
      <c r="A2675" s="99"/>
    </row>
    <row r="2676" spans="1:1">
      <c r="A2676" s="99"/>
    </row>
    <row r="2677" spans="1:1">
      <c r="A2677" s="99"/>
    </row>
    <row r="2678" spans="1:1">
      <c r="A2678" s="99"/>
    </row>
    <row r="2679" spans="1:1">
      <c r="A2679" s="99"/>
    </row>
    <row r="2680" spans="1:1">
      <c r="A2680" s="99"/>
    </row>
    <row r="2681" spans="1:1">
      <c r="A2681" s="99"/>
    </row>
    <row r="2682" spans="1:1">
      <c r="A2682" s="99"/>
    </row>
    <row r="2683" spans="1:1">
      <c r="A2683" s="99"/>
    </row>
    <row r="2684" spans="1:1">
      <c r="A2684" s="99"/>
    </row>
    <row r="2685" spans="1:1">
      <c r="A2685" s="99"/>
    </row>
    <row r="2686" spans="1:1">
      <c r="A2686" s="99"/>
    </row>
    <row r="2687" spans="1:1">
      <c r="A2687" s="99"/>
    </row>
    <row r="2688" spans="1:1">
      <c r="A2688" s="99"/>
    </row>
    <row r="2689" spans="1:1">
      <c r="A2689" s="99"/>
    </row>
    <row r="2690" spans="1:1">
      <c r="A2690" s="99"/>
    </row>
    <row r="2691" spans="1:1">
      <c r="A2691" s="99"/>
    </row>
    <row r="2692" spans="1:1">
      <c r="A2692" s="99"/>
    </row>
    <row r="2693" spans="1:1">
      <c r="A2693" s="99"/>
    </row>
    <row r="2694" spans="1:1">
      <c r="A2694" s="99"/>
    </row>
    <row r="2695" spans="1:1">
      <c r="A2695" s="99"/>
    </row>
    <row r="2696" spans="1:1">
      <c r="A2696" s="99"/>
    </row>
    <row r="2697" spans="1:1">
      <c r="A2697" s="99"/>
    </row>
    <row r="2698" spans="1:1">
      <c r="A2698" s="99"/>
    </row>
    <row r="2699" spans="1:1">
      <c r="A2699" s="99"/>
    </row>
    <row r="2700" spans="1:1">
      <c r="A2700" s="99"/>
    </row>
    <row r="2701" spans="1:1">
      <c r="A2701" s="99"/>
    </row>
    <row r="2702" spans="1:1">
      <c r="A2702" s="99"/>
    </row>
    <row r="2703" spans="1:1">
      <c r="A2703" s="99"/>
    </row>
    <row r="2704" spans="1:1">
      <c r="A2704" s="99"/>
    </row>
    <row r="2705" spans="1:1">
      <c r="A2705" s="99"/>
    </row>
    <row r="2706" spans="1:1">
      <c r="A2706" s="99"/>
    </row>
    <row r="2707" spans="1:1">
      <c r="A2707" s="99"/>
    </row>
    <row r="2708" spans="1:1">
      <c r="A2708" s="99"/>
    </row>
    <row r="2709" spans="1:1">
      <c r="A2709" s="99"/>
    </row>
    <row r="2710" spans="1:1">
      <c r="A2710" s="99"/>
    </row>
    <row r="2711" spans="1:1">
      <c r="A2711" s="99"/>
    </row>
    <row r="2712" spans="1:1">
      <c r="A2712" s="99"/>
    </row>
    <row r="2713" spans="1:1">
      <c r="A2713" s="99"/>
    </row>
    <row r="2714" spans="1:1">
      <c r="A2714" s="99"/>
    </row>
    <row r="2715" spans="1:1">
      <c r="A2715" s="99"/>
    </row>
    <row r="2716" spans="1:1">
      <c r="A2716" s="99"/>
    </row>
    <row r="2717" spans="1:1">
      <c r="A2717" s="99"/>
    </row>
    <row r="2718" spans="1:1">
      <c r="A2718" s="99"/>
    </row>
    <row r="2719" spans="1:1">
      <c r="A2719" s="99"/>
    </row>
    <row r="2720" spans="1:1">
      <c r="A2720" s="99"/>
    </row>
    <row r="2721" spans="1:1">
      <c r="A2721" s="99"/>
    </row>
    <row r="2722" spans="1:1">
      <c r="A2722" s="99"/>
    </row>
    <row r="2723" spans="1:1">
      <c r="A2723" s="99"/>
    </row>
    <row r="2724" spans="1:1">
      <c r="A2724" s="99"/>
    </row>
    <row r="2725" spans="1:1">
      <c r="A2725" s="99"/>
    </row>
    <row r="2726" spans="1:1">
      <c r="A2726" s="99"/>
    </row>
    <row r="2727" spans="1:1">
      <c r="A2727" s="99"/>
    </row>
    <row r="2728" spans="1:1">
      <c r="A2728" s="99"/>
    </row>
    <row r="2729" spans="1:1">
      <c r="A2729" s="99"/>
    </row>
    <row r="2730" spans="1:1">
      <c r="A2730" s="99"/>
    </row>
    <row r="2731" spans="1:1">
      <c r="A2731" s="99"/>
    </row>
    <row r="2732" spans="1:1">
      <c r="A2732" s="99"/>
    </row>
    <row r="2733" spans="1:1">
      <c r="A2733" s="99"/>
    </row>
    <row r="2734" spans="1:1">
      <c r="A2734" s="99"/>
    </row>
    <row r="2735" spans="1:1">
      <c r="A2735" s="99"/>
    </row>
    <row r="2736" spans="1:1">
      <c r="A2736" s="99"/>
    </row>
    <row r="2737" spans="1:1">
      <c r="A2737" s="99"/>
    </row>
    <row r="2738" spans="1:1">
      <c r="A2738" s="99"/>
    </row>
    <row r="2739" spans="1:1">
      <c r="A2739" s="99"/>
    </row>
    <row r="2740" spans="1:1">
      <c r="A2740" s="99"/>
    </row>
    <row r="2741" spans="1:1">
      <c r="A2741" s="99"/>
    </row>
    <row r="2742" spans="1:1">
      <c r="A2742" s="99"/>
    </row>
    <row r="2743" spans="1:1">
      <c r="A2743" s="99"/>
    </row>
    <row r="2744" spans="1:1">
      <c r="A2744" s="99"/>
    </row>
    <row r="2745" spans="1:1">
      <c r="A2745" s="99"/>
    </row>
    <row r="2746" spans="1:1">
      <c r="A2746" s="99"/>
    </row>
    <row r="2747" spans="1:1">
      <c r="A2747" s="99"/>
    </row>
    <row r="2748" spans="1:1">
      <c r="A2748" s="99"/>
    </row>
    <row r="2749" spans="1:1">
      <c r="A2749" s="99"/>
    </row>
    <row r="2750" spans="1:1">
      <c r="A2750" s="99"/>
    </row>
    <row r="2751" spans="1:1">
      <c r="A2751" s="99"/>
    </row>
    <row r="2752" spans="1:1">
      <c r="A2752" s="99"/>
    </row>
    <row r="2753" spans="1:1">
      <c r="A2753" s="99"/>
    </row>
    <row r="2754" spans="1:1">
      <c r="A2754" s="99"/>
    </row>
    <row r="2755" spans="1:1">
      <c r="A2755" s="99"/>
    </row>
    <row r="2756" spans="1:1">
      <c r="A2756" s="99"/>
    </row>
    <row r="2757" spans="1:1">
      <c r="A2757" s="99"/>
    </row>
    <row r="2758" spans="1:1">
      <c r="A2758" s="99"/>
    </row>
    <row r="2759" spans="1:1">
      <c r="A2759" s="99"/>
    </row>
    <row r="2760" spans="1:1">
      <c r="A2760" s="99"/>
    </row>
    <row r="2761" spans="1:1">
      <c r="A2761" s="99"/>
    </row>
    <row r="2762" spans="1:1">
      <c r="A2762" s="99"/>
    </row>
    <row r="2763" spans="1:1">
      <c r="A2763" s="99"/>
    </row>
    <row r="2764" spans="1:1">
      <c r="A2764" s="99"/>
    </row>
    <row r="2765" spans="1:1">
      <c r="A2765" s="99"/>
    </row>
    <row r="2766" spans="1:1">
      <c r="A2766" s="99"/>
    </row>
    <row r="2767" spans="1:1">
      <c r="A2767" s="99"/>
    </row>
    <row r="2768" spans="1:1">
      <c r="A2768" s="99"/>
    </row>
    <row r="2769" spans="1:1">
      <c r="A2769" s="99"/>
    </row>
    <row r="2770" spans="1:1">
      <c r="A2770" s="99"/>
    </row>
    <row r="2771" spans="1:1">
      <c r="A2771" s="99"/>
    </row>
    <row r="2772" spans="1:1">
      <c r="A2772" s="99"/>
    </row>
    <row r="2773" spans="1:1">
      <c r="A2773" s="99"/>
    </row>
    <row r="2774" spans="1:1">
      <c r="A2774" s="99"/>
    </row>
    <row r="2775" spans="1:1">
      <c r="A2775" s="99"/>
    </row>
    <row r="2776" spans="1:1">
      <c r="A2776" s="99"/>
    </row>
    <row r="2777" spans="1:1">
      <c r="A2777" s="99"/>
    </row>
    <row r="2778" spans="1:1">
      <c r="A2778" s="99"/>
    </row>
    <row r="2779" spans="1:1">
      <c r="A2779" s="99"/>
    </row>
    <row r="2780" spans="1:1">
      <c r="A2780" s="99"/>
    </row>
    <row r="2781" spans="1:1">
      <c r="A2781" s="99"/>
    </row>
    <row r="2782" spans="1:1">
      <c r="A2782" s="99"/>
    </row>
    <row r="2783" spans="1:1">
      <c r="A2783" s="99"/>
    </row>
    <row r="2784" spans="1:1">
      <c r="A2784" s="99"/>
    </row>
    <row r="2785" spans="1:1">
      <c r="A2785" s="99"/>
    </row>
    <row r="2786" spans="1:1">
      <c r="A2786" s="99"/>
    </row>
    <row r="2787" spans="1:1">
      <c r="A2787" s="99"/>
    </row>
    <row r="2788" spans="1:1">
      <c r="A2788" s="99"/>
    </row>
    <row r="2789" spans="1:1">
      <c r="A2789" s="99"/>
    </row>
    <row r="2790" spans="1:1">
      <c r="A2790" s="99"/>
    </row>
    <row r="2791" spans="1:1">
      <c r="A2791" s="99"/>
    </row>
    <row r="2792" spans="1:1">
      <c r="A2792" s="99"/>
    </row>
    <row r="2793" spans="1:1">
      <c r="A2793" s="99"/>
    </row>
    <row r="2794" spans="1:1">
      <c r="A2794" s="99"/>
    </row>
    <row r="2795" spans="1:1">
      <c r="A2795" s="99"/>
    </row>
    <row r="2796" spans="1:1">
      <c r="A2796" s="99"/>
    </row>
    <row r="2797" spans="1:1">
      <c r="A2797" s="99"/>
    </row>
    <row r="2798" spans="1:1">
      <c r="A2798" s="99"/>
    </row>
    <row r="2799" spans="1:1">
      <c r="A2799" s="99"/>
    </row>
    <row r="2800" spans="1:1">
      <c r="A2800" s="99"/>
    </row>
    <row r="2801" spans="1:1">
      <c r="A2801" s="99"/>
    </row>
    <row r="2802" spans="1:1">
      <c r="A2802" s="99"/>
    </row>
    <row r="2803" spans="1:1">
      <c r="A2803" s="99"/>
    </row>
    <row r="2804" spans="1:1">
      <c r="A2804" s="99"/>
    </row>
    <row r="2805" spans="1:1">
      <c r="A2805" s="99"/>
    </row>
    <row r="2806" spans="1:1">
      <c r="A2806" s="99"/>
    </row>
    <row r="2807" spans="1:1">
      <c r="A2807" s="99"/>
    </row>
    <row r="2808" spans="1:1">
      <c r="A2808" s="99"/>
    </row>
    <row r="2809" spans="1:1">
      <c r="A2809" s="99"/>
    </row>
    <row r="2810" spans="1:1">
      <c r="A2810" s="99"/>
    </row>
    <row r="2811" spans="1:1">
      <c r="A2811" s="99"/>
    </row>
    <row r="2812" spans="1:1">
      <c r="A2812" s="99"/>
    </row>
    <row r="2813" spans="1:1">
      <c r="A2813" s="99"/>
    </row>
    <row r="2814" spans="1:1">
      <c r="A2814" s="99"/>
    </row>
    <row r="2815" spans="1:1">
      <c r="A2815" s="99"/>
    </row>
    <row r="2816" spans="1:1">
      <c r="A2816" s="99"/>
    </row>
    <row r="2817" spans="1:1">
      <c r="A2817" s="99"/>
    </row>
    <row r="2818" spans="1:1">
      <c r="A2818" s="99"/>
    </row>
    <row r="2819" spans="1:1">
      <c r="A2819" s="99"/>
    </row>
    <row r="2820" spans="1:1">
      <c r="A2820" s="99"/>
    </row>
    <row r="2821" spans="1:1">
      <c r="A2821" s="99"/>
    </row>
    <row r="2822" spans="1:1">
      <c r="A2822" s="99"/>
    </row>
    <row r="2823" spans="1:1">
      <c r="A2823" s="99"/>
    </row>
    <row r="2824" spans="1:1">
      <c r="A2824" s="99"/>
    </row>
    <row r="2825" spans="1:1">
      <c r="A2825" s="99"/>
    </row>
    <row r="2826" spans="1:1">
      <c r="A2826" s="99"/>
    </row>
    <row r="2827" spans="1:1">
      <c r="A2827" s="99"/>
    </row>
    <row r="2828" spans="1:1">
      <c r="A2828" s="99"/>
    </row>
    <row r="2829" spans="1:1">
      <c r="A2829" s="99"/>
    </row>
    <row r="2830" spans="1:1">
      <c r="A2830" s="99"/>
    </row>
    <row r="2831" spans="1:1">
      <c r="A2831" s="99"/>
    </row>
    <row r="2832" spans="1:1">
      <c r="A2832" s="99"/>
    </row>
    <row r="2833" spans="1:1">
      <c r="A2833" s="99"/>
    </row>
    <row r="2834" spans="1:1">
      <c r="A2834" s="99"/>
    </row>
    <row r="2835" spans="1:1">
      <c r="A2835" s="99"/>
    </row>
    <row r="2836" spans="1:1">
      <c r="A2836" s="99"/>
    </row>
    <row r="2837" spans="1:1">
      <c r="A2837" s="99"/>
    </row>
    <row r="2838" spans="1:1">
      <c r="A2838" s="99"/>
    </row>
    <row r="2839" spans="1:1">
      <c r="A2839" s="99"/>
    </row>
    <row r="2840" spans="1:1">
      <c r="A2840" s="99"/>
    </row>
    <row r="2841" spans="1:1">
      <c r="A2841" s="99"/>
    </row>
    <row r="2842" spans="1:1">
      <c r="A2842" s="99"/>
    </row>
    <row r="2843" spans="1:1">
      <c r="A2843" s="99"/>
    </row>
    <row r="2844" spans="1:1">
      <c r="A2844" s="99"/>
    </row>
    <row r="2845" spans="1:1">
      <c r="A2845" s="99"/>
    </row>
    <row r="2846" spans="1:1">
      <c r="A2846" s="99"/>
    </row>
    <row r="2847" spans="1:1">
      <c r="A2847" s="99"/>
    </row>
    <row r="2848" spans="1:1">
      <c r="A2848" s="99"/>
    </row>
    <row r="2849" spans="1:1">
      <c r="A2849" s="99"/>
    </row>
    <row r="2850" spans="1:1">
      <c r="A2850" s="99"/>
    </row>
    <row r="2851" spans="1:1">
      <c r="A2851" s="99"/>
    </row>
    <row r="2852" spans="1:1">
      <c r="A2852" s="99"/>
    </row>
    <row r="2853" spans="1:1">
      <c r="A2853" s="99"/>
    </row>
    <row r="2854" spans="1:1">
      <c r="A2854" s="99"/>
    </row>
    <row r="2855" spans="1:1">
      <c r="A2855" s="99"/>
    </row>
    <row r="2856" spans="1:1">
      <c r="A2856" s="99"/>
    </row>
    <row r="2857" spans="1:1">
      <c r="A2857" s="99"/>
    </row>
    <row r="2858" spans="1:1">
      <c r="A2858" s="99"/>
    </row>
    <row r="2859" spans="1:1">
      <c r="A2859" s="99"/>
    </row>
    <row r="2860" spans="1:1">
      <c r="A2860" s="99"/>
    </row>
    <row r="2861" spans="1:1">
      <c r="A2861" s="99"/>
    </row>
    <row r="2862" spans="1:1">
      <c r="A2862" s="99"/>
    </row>
    <row r="2863" spans="1:1">
      <c r="A2863" s="99"/>
    </row>
    <row r="2864" spans="1:1">
      <c r="A2864" s="99"/>
    </row>
    <row r="2865" spans="1:1">
      <c r="A2865" s="99"/>
    </row>
    <row r="2866" spans="1:1">
      <c r="A2866" s="99"/>
    </row>
    <row r="2867" spans="1:1">
      <c r="A2867" s="99"/>
    </row>
    <row r="2868" spans="1:1">
      <c r="A2868" s="99"/>
    </row>
    <row r="2869" spans="1:1">
      <c r="A2869" s="99"/>
    </row>
    <row r="2870" spans="1:1">
      <c r="A2870" s="99"/>
    </row>
    <row r="2871" spans="1:1">
      <c r="A2871" s="99"/>
    </row>
    <row r="2872" spans="1:1">
      <c r="A2872" s="99"/>
    </row>
    <row r="2873" spans="1:1">
      <c r="A2873" s="99"/>
    </row>
    <row r="2874" spans="1:1">
      <c r="A2874" s="99"/>
    </row>
    <row r="2875" spans="1:1">
      <c r="A2875" s="99"/>
    </row>
    <row r="2876" spans="1:1">
      <c r="A2876" s="99"/>
    </row>
    <row r="2877" spans="1:1">
      <c r="A2877" s="99"/>
    </row>
    <row r="2878" spans="1:1">
      <c r="A2878" s="99"/>
    </row>
    <row r="2879" spans="1:1">
      <c r="A2879" s="99"/>
    </row>
    <row r="2880" spans="1:1">
      <c r="A2880" s="99"/>
    </row>
    <row r="2881" spans="1:1">
      <c r="A2881" s="99"/>
    </row>
    <row r="2882" spans="1:1">
      <c r="A2882" s="99"/>
    </row>
    <row r="2883" spans="1:1">
      <c r="A2883" s="99"/>
    </row>
    <row r="2884" spans="1:1">
      <c r="A2884" s="99"/>
    </row>
    <row r="2885" spans="1:1">
      <c r="A2885" s="99"/>
    </row>
    <row r="2886" spans="1:1">
      <c r="A2886" s="99"/>
    </row>
    <row r="2887" spans="1:1">
      <c r="A2887" s="99"/>
    </row>
    <row r="2888" spans="1:1">
      <c r="A2888" s="99"/>
    </row>
    <row r="2889" spans="1:1">
      <c r="A2889" s="99"/>
    </row>
    <row r="2890" spans="1:1">
      <c r="A2890" s="99"/>
    </row>
    <row r="2891" spans="1:1">
      <c r="A2891" s="99"/>
    </row>
    <row r="2892" spans="1:1">
      <c r="A2892" s="99"/>
    </row>
    <row r="2893" spans="1:1">
      <c r="A2893" s="99"/>
    </row>
    <row r="2894" spans="1:1">
      <c r="A2894" s="99"/>
    </row>
    <row r="2895" spans="1:1">
      <c r="A2895" s="99"/>
    </row>
    <row r="2896" spans="1:1">
      <c r="A2896" s="99"/>
    </row>
    <row r="2897" spans="1:1">
      <c r="A2897" s="99"/>
    </row>
    <row r="2898" spans="1:1">
      <c r="A2898" s="99"/>
    </row>
    <row r="2899" spans="1:1">
      <c r="A2899" s="99"/>
    </row>
    <row r="2900" spans="1:1">
      <c r="A2900" s="99"/>
    </row>
    <row r="2901" spans="1:1">
      <c r="A2901" s="99"/>
    </row>
    <row r="2902" spans="1:1">
      <c r="A2902" s="99"/>
    </row>
    <row r="2903" spans="1:1">
      <c r="A2903" s="99"/>
    </row>
    <row r="2904" spans="1:1">
      <c r="A2904" s="99"/>
    </row>
    <row r="2905" spans="1:1">
      <c r="A2905" s="99"/>
    </row>
    <row r="2906" spans="1:1">
      <c r="A2906" s="99"/>
    </row>
    <row r="2907" spans="1:1">
      <c r="A2907" s="99"/>
    </row>
    <row r="2908" spans="1:1">
      <c r="A2908" s="99"/>
    </row>
    <row r="2909" spans="1:1">
      <c r="A2909" s="99"/>
    </row>
    <row r="2910" spans="1:1">
      <c r="A2910" s="99"/>
    </row>
    <row r="2911" spans="1:1">
      <c r="A2911" s="99"/>
    </row>
    <row r="2912" spans="1:1">
      <c r="A2912" s="99"/>
    </row>
    <row r="2913" spans="1:1">
      <c r="A2913" s="99"/>
    </row>
    <row r="2914" spans="1:1">
      <c r="A2914" s="99"/>
    </row>
    <row r="2915" spans="1:1">
      <c r="A2915" s="99"/>
    </row>
    <row r="2916" spans="1:1">
      <c r="A2916" s="99"/>
    </row>
    <row r="2917" spans="1:1">
      <c r="A2917" s="99"/>
    </row>
    <row r="2918" spans="1:1">
      <c r="A2918" s="99"/>
    </row>
    <row r="2919" spans="1:1">
      <c r="A2919" s="99"/>
    </row>
    <row r="2920" spans="1:1">
      <c r="A2920" s="99"/>
    </row>
    <row r="2921" spans="1:1">
      <c r="A2921" s="99"/>
    </row>
    <row r="2922" spans="1:1">
      <c r="A2922" s="99"/>
    </row>
    <row r="2923" spans="1:1">
      <c r="A2923" s="99"/>
    </row>
    <row r="2924" spans="1:1">
      <c r="A2924" s="99"/>
    </row>
    <row r="2925" spans="1:1">
      <c r="A2925" s="99"/>
    </row>
    <row r="2926" spans="1:1">
      <c r="A2926" s="99"/>
    </row>
    <row r="2927" spans="1:1">
      <c r="A2927" s="99"/>
    </row>
    <row r="2928" spans="1:1">
      <c r="A2928" s="99"/>
    </row>
    <row r="2929" spans="1:1">
      <c r="A2929" s="99"/>
    </row>
    <row r="2930" spans="1:1">
      <c r="A2930" s="99"/>
    </row>
    <row r="2931" spans="1:1">
      <c r="A2931" s="99"/>
    </row>
    <row r="2932" spans="1:1">
      <c r="A2932" s="99"/>
    </row>
    <row r="2933" spans="1:1">
      <c r="A2933" s="99"/>
    </row>
    <row r="2934" spans="1:1">
      <c r="A2934" s="99"/>
    </row>
    <row r="2935" spans="1:1">
      <c r="A2935" s="99"/>
    </row>
    <row r="2936" spans="1:1">
      <c r="A2936" s="99"/>
    </row>
    <row r="2937" spans="1:1">
      <c r="A2937" s="99"/>
    </row>
    <row r="2938" spans="1:1">
      <c r="A2938" s="99"/>
    </row>
    <row r="2939" spans="1:1">
      <c r="A2939" s="99"/>
    </row>
    <row r="2940" spans="1:1">
      <c r="A2940" s="99"/>
    </row>
    <row r="2941" spans="1:1">
      <c r="A2941" s="99"/>
    </row>
    <row r="2942" spans="1:1">
      <c r="A2942" s="99"/>
    </row>
    <row r="2943" spans="1:1">
      <c r="A2943" s="99"/>
    </row>
    <row r="2944" spans="1:1">
      <c r="A2944" s="99"/>
    </row>
    <row r="2945" spans="1:1">
      <c r="A2945" s="99"/>
    </row>
    <row r="2946" spans="1:1">
      <c r="A2946" s="99"/>
    </row>
    <row r="2947" spans="1:1">
      <c r="A2947" s="99"/>
    </row>
    <row r="2948" spans="1:1">
      <c r="A2948" s="99"/>
    </row>
    <row r="2949" spans="1:1">
      <c r="A2949" s="99"/>
    </row>
    <row r="2950" spans="1:1">
      <c r="A2950" s="99"/>
    </row>
    <row r="2951" spans="1:1">
      <c r="A2951" s="99"/>
    </row>
    <row r="2952" spans="1:1">
      <c r="A2952" s="99"/>
    </row>
    <row r="2953" spans="1:1">
      <c r="A2953" s="99"/>
    </row>
    <row r="2954" spans="1:1">
      <c r="A2954" s="99"/>
    </row>
    <row r="2955" spans="1:1">
      <c r="A2955" s="99"/>
    </row>
    <row r="2956" spans="1:1">
      <c r="A2956" s="99"/>
    </row>
    <row r="2957" spans="1:1">
      <c r="A2957" s="99"/>
    </row>
    <row r="2958" spans="1:1">
      <c r="A2958" s="99"/>
    </row>
    <row r="2959" spans="1:1">
      <c r="A2959" s="99"/>
    </row>
    <row r="2960" spans="1:1">
      <c r="A2960" s="99"/>
    </row>
    <row r="2961" spans="1:1">
      <c r="A2961" s="99"/>
    </row>
    <row r="2962" spans="1:1">
      <c r="A2962" s="99"/>
    </row>
    <row r="2963" spans="1:1">
      <c r="A2963" s="99"/>
    </row>
    <row r="2964" spans="1:1">
      <c r="A2964" s="99"/>
    </row>
    <row r="2965" spans="1:1">
      <c r="A2965" s="99"/>
    </row>
    <row r="2966" spans="1:1">
      <c r="A2966" s="99"/>
    </row>
    <row r="2967" spans="1:1">
      <c r="A2967" s="99"/>
    </row>
    <row r="2968" spans="1:1">
      <c r="A2968" s="99"/>
    </row>
    <row r="2969" spans="1:1">
      <c r="A2969" s="99"/>
    </row>
    <row r="2970" spans="1:1">
      <c r="A2970" s="99"/>
    </row>
    <row r="2971" spans="1:1">
      <c r="A2971" s="99"/>
    </row>
    <row r="2972" spans="1:1">
      <c r="A2972" s="99"/>
    </row>
    <row r="2973" spans="1:1">
      <c r="A2973" s="99"/>
    </row>
    <row r="2974" spans="1:1">
      <c r="A2974" s="99"/>
    </row>
    <row r="2975" spans="1:1">
      <c r="A2975" s="99"/>
    </row>
    <row r="2976" spans="1:1">
      <c r="A2976" s="99"/>
    </row>
    <row r="2977" spans="1:1">
      <c r="A2977" s="99"/>
    </row>
    <row r="2978" spans="1:1">
      <c r="A2978" s="99"/>
    </row>
    <row r="2979" spans="1:1">
      <c r="A2979" s="99"/>
    </row>
    <row r="2980" spans="1:1">
      <c r="A2980" s="99"/>
    </row>
    <row r="2981" spans="1:1">
      <c r="A2981" s="99"/>
    </row>
    <row r="2982" spans="1:1">
      <c r="A2982" s="99"/>
    </row>
    <row r="2983" spans="1:1">
      <c r="A2983" s="99"/>
    </row>
    <row r="2984" spans="1:1">
      <c r="A2984" s="99"/>
    </row>
    <row r="2985" spans="1:1">
      <c r="A2985" s="99"/>
    </row>
    <row r="2986" spans="1:1">
      <c r="A2986" s="99"/>
    </row>
    <row r="2987" spans="1:1">
      <c r="A2987" s="99"/>
    </row>
    <row r="2988" spans="1:1">
      <c r="A2988" s="99"/>
    </row>
    <row r="2989" spans="1:1">
      <c r="A2989" s="99"/>
    </row>
    <row r="2990" spans="1:1">
      <c r="A2990" s="99"/>
    </row>
    <row r="2991" spans="1:1">
      <c r="A2991" s="99"/>
    </row>
    <row r="2992" spans="1:1">
      <c r="A2992" s="99"/>
    </row>
    <row r="2993" spans="1:1">
      <c r="A2993" s="99"/>
    </row>
    <row r="2994" spans="1:1">
      <c r="A2994" s="99"/>
    </row>
    <row r="2995" spans="1:1">
      <c r="A2995" s="99"/>
    </row>
    <row r="2996" spans="1:1">
      <c r="A2996" s="99"/>
    </row>
    <row r="2997" spans="1:1">
      <c r="A2997" s="99"/>
    </row>
    <row r="2998" spans="1:1">
      <c r="A2998" s="99"/>
    </row>
    <row r="2999" spans="1:1">
      <c r="A2999" s="99"/>
    </row>
    <row r="3000" spans="1:1">
      <c r="A3000" s="99"/>
    </row>
    <row r="3001" spans="1:1">
      <c r="A3001" s="99"/>
    </row>
    <row r="3002" spans="1:1">
      <c r="A3002" s="99"/>
    </row>
    <row r="3003" spans="1:1">
      <c r="A3003" s="99"/>
    </row>
    <row r="3004" spans="1:1">
      <c r="A3004" s="99"/>
    </row>
    <row r="3005" spans="1:1">
      <c r="A3005" s="99"/>
    </row>
    <row r="3006" spans="1:1">
      <c r="A3006" s="99"/>
    </row>
    <row r="3007" spans="1:1">
      <c r="A3007" s="99"/>
    </row>
    <row r="3008" spans="1:1">
      <c r="A3008" s="99"/>
    </row>
    <row r="3009" spans="1:1">
      <c r="A3009" s="99"/>
    </row>
    <row r="3010" spans="1:1">
      <c r="A3010" s="99"/>
    </row>
    <row r="3011" spans="1:1">
      <c r="A3011" s="99"/>
    </row>
    <row r="3012" spans="1:1">
      <c r="A3012" s="99"/>
    </row>
    <row r="3013" spans="1:1">
      <c r="A3013" s="99"/>
    </row>
    <row r="3014" spans="1:1">
      <c r="A3014" s="99"/>
    </row>
    <row r="3015" spans="1:1">
      <c r="A3015" s="99"/>
    </row>
    <row r="3016" spans="1:1">
      <c r="A3016" s="99"/>
    </row>
    <row r="3017" spans="1:1">
      <c r="A3017" s="99"/>
    </row>
    <row r="3018" spans="1:1">
      <c r="A3018" s="99"/>
    </row>
    <row r="3019" spans="1:1">
      <c r="A3019" s="99"/>
    </row>
    <row r="3020" spans="1:1">
      <c r="A3020" s="99"/>
    </row>
    <row r="3021" spans="1:1">
      <c r="A3021" s="99"/>
    </row>
    <row r="3022" spans="1:1">
      <c r="A3022" s="99"/>
    </row>
    <row r="3023" spans="1:1">
      <c r="A3023" s="99"/>
    </row>
    <row r="3024" spans="1:1">
      <c r="A3024" s="99"/>
    </row>
    <row r="3025" spans="1:1">
      <c r="A3025" s="99"/>
    </row>
    <row r="3026" spans="1:1">
      <c r="A3026" s="99"/>
    </row>
    <row r="3027" spans="1:1">
      <c r="A3027" s="99"/>
    </row>
    <row r="3028" spans="1:1">
      <c r="A3028" s="99"/>
    </row>
    <row r="3029" spans="1:1">
      <c r="A3029" s="99"/>
    </row>
    <row r="3030" spans="1:1">
      <c r="A3030" s="99"/>
    </row>
    <row r="3031" spans="1:1">
      <c r="A3031" s="99"/>
    </row>
    <row r="3032" spans="1:1">
      <c r="A3032" s="99"/>
    </row>
    <row r="3033" spans="1:1">
      <c r="A3033" s="99"/>
    </row>
    <row r="3034" spans="1:1">
      <c r="A3034" s="99"/>
    </row>
    <row r="3035" spans="1:1">
      <c r="A3035" s="99"/>
    </row>
    <row r="3036" spans="1:1">
      <c r="A3036" s="99"/>
    </row>
    <row r="3037" spans="1:1">
      <c r="A3037" s="99"/>
    </row>
    <row r="3038" spans="1:1">
      <c r="A3038" s="99"/>
    </row>
    <row r="3039" spans="1:1">
      <c r="A3039" s="99"/>
    </row>
    <row r="3040" spans="1:1">
      <c r="A3040" s="99"/>
    </row>
    <row r="3041" spans="1:1">
      <c r="A3041" s="99"/>
    </row>
    <row r="3042" spans="1:1">
      <c r="A3042" s="99"/>
    </row>
    <row r="3043" spans="1:1">
      <c r="A3043" s="99"/>
    </row>
    <row r="3044" spans="1:1">
      <c r="A3044" s="99"/>
    </row>
    <row r="3045" spans="1:1">
      <c r="A3045" s="99"/>
    </row>
    <row r="3046" spans="1:1">
      <c r="A3046" s="99"/>
    </row>
    <row r="3047" spans="1:1">
      <c r="A3047" s="99"/>
    </row>
    <row r="3048" spans="1:1">
      <c r="A3048" s="99"/>
    </row>
    <row r="3049" spans="1:1">
      <c r="A3049" s="99"/>
    </row>
    <row r="3050" spans="1:1">
      <c r="A3050" s="99"/>
    </row>
    <row r="3051" spans="1:1">
      <c r="A3051" s="99"/>
    </row>
    <row r="3052" spans="1:1">
      <c r="A3052" s="99"/>
    </row>
    <row r="3053" spans="1:1">
      <c r="A3053" s="99"/>
    </row>
    <row r="3054" spans="1:1">
      <c r="A3054" s="99"/>
    </row>
    <row r="3055" spans="1:1">
      <c r="A3055" s="99"/>
    </row>
    <row r="3056" spans="1:1">
      <c r="A3056" s="99"/>
    </row>
    <row r="3057" spans="1:1">
      <c r="A3057" s="99"/>
    </row>
    <row r="3058" spans="1:1">
      <c r="A3058" s="99"/>
    </row>
    <row r="3059" spans="1:1">
      <c r="A3059" s="99"/>
    </row>
    <row r="3060" spans="1:1">
      <c r="A3060" s="99"/>
    </row>
    <row r="3061" spans="1:1">
      <c r="A3061" s="99"/>
    </row>
    <row r="3062" spans="1:1">
      <c r="A3062" s="99"/>
    </row>
    <row r="3063" spans="1:1">
      <c r="A3063" s="99"/>
    </row>
    <row r="3064" spans="1:1">
      <c r="A3064" s="99"/>
    </row>
    <row r="3065" spans="1:1">
      <c r="A3065" s="99"/>
    </row>
    <row r="3066" spans="1:1">
      <c r="A3066" s="99"/>
    </row>
    <row r="3067" spans="1:1">
      <c r="A3067" s="99"/>
    </row>
    <row r="3068" spans="1:1">
      <c r="A3068" s="99"/>
    </row>
    <row r="3069" spans="1:1">
      <c r="A3069" s="99"/>
    </row>
    <row r="3070" spans="1:1">
      <c r="A3070" s="99"/>
    </row>
    <row r="3071" spans="1:1">
      <c r="A3071" s="99"/>
    </row>
    <row r="3072" spans="1:1">
      <c r="A3072" s="99"/>
    </row>
    <row r="3073" spans="1:1">
      <c r="A3073" s="99"/>
    </row>
    <row r="3074" spans="1:1">
      <c r="A3074" s="99"/>
    </row>
    <row r="3075" spans="1:1">
      <c r="A3075" s="99"/>
    </row>
    <row r="3076" spans="1:1">
      <c r="A3076" s="99"/>
    </row>
    <row r="3077" spans="1:1">
      <c r="A3077" s="99"/>
    </row>
    <row r="3078" spans="1:1">
      <c r="A3078" s="99"/>
    </row>
    <row r="3079" spans="1:1">
      <c r="A3079" s="99"/>
    </row>
    <row r="3080" spans="1:1">
      <c r="A3080" s="99"/>
    </row>
    <row r="3081" spans="1:1">
      <c r="A3081" s="99"/>
    </row>
    <row r="3082" spans="1:1">
      <c r="A3082" s="99"/>
    </row>
    <row r="3083" spans="1:1">
      <c r="A3083" s="99"/>
    </row>
    <row r="3084" spans="1:1">
      <c r="A3084" s="99"/>
    </row>
    <row r="3085" spans="1:1">
      <c r="A3085" s="99"/>
    </row>
    <row r="3086" spans="1:1">
      <c r="A3086" s="99"/>
    </row>
    <row r="3087" spans="1:1">
      <c r="A3087" s="99"/>
    </row>
    <row r="3088" spans="1:1">
      <c r="A3088" s="99"/>
    </row>
    <row r="3089" spans="1:1">
      <c r="A3089" s="99"/>
    </row>
    <row r="3090" spans="1:1">
      <c r="A3090" s="99"/>
    </row>
    <row r="3091" spans="1:1">
      <c r="A3091" s="99"/>
    </row>
    <row r="3092" spans="1:1">
      <c r="A3092" s="99"/>
    </row>
    <row r="3093" spans="1:1">
      <c r="A3093" s="99"/>
    </row>
    <row r="3094" spans="1:1">
      <c r="A3094" s="99"/>
    </row>
    <row r="3095" spans="1:1">
      <c r="A3095" s="99"/>
    </row>
    <row r="3096" spans="1:1">
      <c r="A3096" s="99"/>
    </row>
    <row r="3097" spans="1:1">
      <c r="A3097" s="99"/>
    </row>
    <row r="3098" spans="1:1">
      <c r="A3098" s="99"/>
    </row>
    <row r="3099" spans="1:1">
      <c r="A3099" s="99"/>
    </row>
    <row r="3100" spans="1:1">
      <c r="A3100" s="99"/>
    </row>
    <row r="3101" spans="1:1">
      <c r="A3101" s="99"/>
    </row>
    <row r="3102" spans="1:1">
      <c r="A3102" s="99"/>
    </row>
    <row r="3103" spans="1:1">
      <c r="A3103" s="99"/>
    </row>
    <row r="3104" spans="1:1">
      <c r="A3104" s="99"/>
    </row>
    <row r="3105" spans="1:1">
      <c r="A3105" s="99"/>
    </row>
    <row r="3106" spans="1:1">
      <c r="A3106" s="99"/>
    </row>
    <row r="3107" spans="1:1">
      <c r="A3107" s="99"/>
    </row>
    <row r="3108" spans="1:1">
      <c r="A3108" s="99"/>
    </row>
    <row r="3109" spans="1:1">
      <c r="A3109" s="99"/>
    </row>
    <row r="3110" spans="1:1">
      <c r="A3110" s="99"/>
    </row>
    <row r="3111" spans="1:1">
      <c r="A3111" s="99"/>
    </row>
    <row r="3112" spans="1:1">
      <c r="A3112" s="99"/>
    </row>
    <row r="3113" spans="1:1">
      <c r="A3113" s="99"/>
    </row>
    <row r="3114" spans="1:1">
      <c r="A3114" s="99"/>
    </row>
    <row r="3115" spans="1:1">
      <c r="A3115" s="99"/>
    </row>
    <row r="3116" spans="1:1">
      <c r="A3116" s="99"/>
    </row>
    <row r="3117" spans="1:1">
      <c r="A3117" s="99"/>
    </row>
    <row r="3118" spans="1:1">
      <c r="A3118" s="99"/>
    </row>
    <row r="3119" spans="1:1">
      <c r="A3119" s="99"/>
    </row>
    <row r="3120" spans="1:1">
      <c r="A3120" s="99"/>
    </row>
    <row r="3121" spans="1:1">
      <c r="A3121" s="99"/>
    </row>
    <row r="3122" spans="1:1">
      <c r="A3122" s="99"/>
    </row>
    <row r="3123" spans="1:1">
      <c r="A3123" s="99"/>
    </row>
    <row r="3124" spans="1:1">
      <c r="A3124" s="99"/>
    </row>
    <row r="3125" spans="1:1">
      <c r="A3125" s="99"/>
    </row>
    <row r="3126" spans="1:1">
      <c r="A3126" s="99"/>
    </row>
    <row r="3127" spans="1:1">
      <c r="A3127" s="99"/>
    </row>
    <row r="3128" spans="1:1">
      <c r="A3128" s="99"/>
    </row>
    <row r="3129" spans="1:1">
      <c r="A3129" s="99"/>
    </row>
    <row r="3130" spans="1:1">
      <c r="A3130" s="99"/>
    </row>
    <row r="3131" spans="1:1">
      <c r="A3131" s="99"/>
    </row>
    <row r="3132" spans="1:1">
      <c r="A3132" s="99"/>
    </row>
    <row r="3133" spans="1:1">
      <c r="A3133" s="99"/>
    </row>
    <row r="3134" spans="1:1">
      <c r="A3134" s="99"/>
    </row>
    <row r="3135" spans="1:1">
      <c r="A3135" s="99"/>
    </row>
    <row r="3136" spans="1:1">
      <c r="A3136" s="99"/>
    </row>
    <row r="3137" spans="1:1">
      <c r="A3137" s="99"/>
    </row>
    <row r="3138" spans="1:1">
      <c r="A3138" s="99"/>
    </row>
    <row r="3139" spans="1:1">
      <c r="A3139" s="99"/>
    </row>
    <row r="3140" spans="1:1">
      <c r="A3140" s="99"/>
    </row>
    <row r="3141" spans="1:1">
      <c r="A3141" s="99"/>
    </row>
    <row r="3142" spans="1:1">
      <c r="A3142" s="99"/>
    </row>
    <row r="3143" spans="1:1">
      <c r="A3143" s="99"/>
    </row>
    <row r="3144" spans="1:1">
      <c r="A3144" s="99"/>
    </row>
    <row r="3145" spans="1:1">
      <c r="A3145" s="99"/>
    </row>
    <row r="3146" spans="1:1">
      <c r="A3146" s="99"/>
    </row>
    <row r="3147" spans="1:1">
      <c r="A3147" s="99"/>
    </row>
    <row r="3148" spans="1:1">
      <c r="A3148" s="99"/>
    </row>
    <row r="3149" spans="1:1">
      <c r="A3149" s="99"/>
    </row>
    <row r="3150" spans="1:1">
      <c r="A3150" s="99"/>
    </row>
    <row r="3151" spans="1:1">
      <c r="A3151" s="99"/>
    </row>
    <row r="3152" spans="1:1">
      <c r="A3152" s="99"/>
    </row>
    <row r="3153" spans="1:1">
      <c r="A3153" s="99"/>
    </row>
    <row r="3154" spans="1:1">
      <c r="A3154" s="99"/>
    </row>
    <row r="3155" spans="1:1">
      <c r="A3155" s="99"/>
    </row>
    <row r="3156" spans="1:1">
      <c r="A3156" s="99"/>
    </row>
    <row r="3157" spans="1:1">
      <c r="A3157" s="99"/>
    </row>
    <row r="3158" spans="1:1">
      <c r="A3158" s="99"/>
    </row>
    <row r="3159" spans="1:1">
      <c r="A3159" s="99"/>
    </row>
    <row r="3160" spans="1:1">
      <c r="A3160" s="99"/>
    </row>
    <row r="3161" spans="1:1">
      <c r="A3161" s="99"/>
    </row>
    <row r="3162" spans="1:1">
      <c r="A3162" s="99"/>
    </row>
    <row r="3163" spans="1:1">
      <c r="A3163" s="99"/>
    </row>
    <row r="3164" spans="1:1">
      <c r="A3164" s="99"/>
    </row>
    <row r="3165" spans="1:1">
      <c r="A3165" s="99"/>
    </row>
    <row r="3166" spans="1:1">
      <c r="A3166" s="99"/>
    </row>
    <row r="3167" spans="1:1">
      <c r="A3167" s="99"/>
    </row>
    <row r="3168" spans="1:1">
      <c r="A3168" s="99"/>
    </row>
    <row r="3169" spans="1:1">
      <c r="A3169" s="99"/>
    </row>
    <row r="3170" spans="1:1">
      <c r="A3170" s="99"/>
    </row>
    <row r="3171" spans="1:1">
      <c r="A3171" s="99"/>
    </row>
    <row r="3172" spans="1:1">
      <c r="A3172" s="99"/>
    </row>
    <row r="3173" spans="1:1">
      <c r="A3173" s="99"/>
    </row>
    <row r="3174" spans="1:1">
      <c r="A3174" s="99"/>
    </row>
    <row r="3175" spans="1:1">
      <c r="A3175" s="99"/>
    </row>
    <row r="3176" spans="1:1">
      <c r="A3176" s="99"/>
    </row>
    <row r="3177" spans="1:1">
      <c r="A3177" s="99"/>
    </row>
    <row r="3178" spans="1:1">
      <c r="A3178" s="99"/>
    </row>
    <row r="3179" spans="1:1">
      <c r="A3179" s="99"/>
    </row>
    <row r="3180" spans="1:1">
      <c r="A3180" s="99"/>
    </row>
    <row r="3181" spans="1:1">
      <c r="A3181" s="99"/>
    </row>
    <row r="3182" spans="1:1">
      <c r="A3182" s="99"/>
    </row>
    <row r="3183" spans="1:1">
      <c r="A3183" s="99"/>
    </row>
    <row r="3184" spans="1:1">
      <c r="A3184" s="99"/>
    </row>
    <row r="3185" spans="1:1">
      <c r="A3185" s="99"/>
    </row>
    <row r="3186" spans="1:1">
      <c r="A3186" s="99"/>
    </row>
    <row r="3187" spans="1:1">
      <c r="A3187" s="99"/>
    </row>
    <row r="3188" spans="1:1">
      <c r="A3188" s="99"/>
    </row>
    <row r="3189" spans="1:1">
      <c r="A3189" s="99"/>
    </row>
    <row r="3190" spans="1:1">
      <c r="A3190" s="99"/>
    </row>
    <row r="3191" spans="1:1">
      <c r="A3191" s="99"/>
    </row>
    <row r="3192" spans="1:1">
      <c r="A3192" s="99"/>
    </row>
    <row r="3193" spans="1:1">
      <c r="A3193" s="99"/>
    </row>
    <row r="3194" spans="1:1">
      <c r="A3194" s="99"/>
    </row>
    <row r="3195" spans="1:1">
      <c r="A3195" s="99"/>
    </row>
    <row r="3196" spans="1:1">
      <c r="A3196" s="99"/>
    </row>
    <row r="3197" spans="1:1">
      <c r="A3197" s="99"/>
    </row>
    <row r="3198" spans="1:1">
      <c r="A3198" s="99"/>
    </row>
    <row r="3199" spans="1:1">
      <c r="A3199" s="99"/>
    </row>
    <row r="3200" spans="1:1">
      <c r="A3200" s="99"/>
    </row>
    <row r="3201" spans="1:1">
      <c r="A3201" s="99"/>
    </row>
    <row r="3202" spans="1:1">
      <c r="A3202" s="99"/>
    </row>
    <row r="3203" spans="1:1">
      <c r="A3203" s="99"/>
    </row>
    <row r="3204" spans="1:1">
      <c r="A3204" s="99"/>
    </row>
    <row r="3205" spans="1:1">
      <c r="A3205" s="99"/>
    </row>
    <row r="3206" spans="1:1">
      <c r="A3206" s="99"/>
    </row>
    <row r="3207" spans="1:1">
      <c r="A3207" s="99"/>
    </row>
    <row r="3208" spans="1:1">
      <c r="A3208" s="99"/>
    </row>
    <row r="3209" spans="1:1">
      <c r="A3209" s="99"/>
    </row>
    <row r="3210" spans="1:1">
      <c r="A3210" s="99"/>
    </row>
    <row r="3211" spans="1:1">
      <c r="A3211" s="99"/>
    </row>
    <row r="3212" spans="1:1">
      <c r="A3212" s="99"/>
    </row>
    <row r="3213" spans="1:1">
      <c r="A3213" s="99"/>
    </row>
    <row r="3214" spans="1:1">
      <c r="A3214" s="99"/>
    </row>
    <row r="3215" spans="1:1">
      <c r="A3215" s="99"/>
    </row>
    <row r="3216" spans="1:1">
      <c r="A3216" s="99"/>
    </row>
    <row r="3217" spans="1:1">
      <c r="A3217" s="99"/>
    </row>
    <row r="3218" spans="1:1">
      <c r="A3218" s="99"/>
    </row>
    <row r="3219" spans="1:1">
      <c r="A3219" s="99"/>
    </row>
    <row r="3220" spans="1:1">
      <c r="A3220" s="99"/>
    </row>
    <row r="3221" spans="1:1">
      <c r="A3221" s="99"/>
    </row>
    <row r="3222" spans="1:1">
      <c r="A3222" s="99"/>
    </row>
    <row r="3223" spans="1:1">
      <c r="A3223" s="99"/>
    </row>
    <row r="3224" spans="1:1">
      <c r="A3224" s="99"/>
    </row>
    <row r="3225" spans="1:1">
      <c r="A3225" s="99"/>
    </row>
    <row r="3226" spans="1:1">
      <c r="A3226" s="99"/>
    </row>
    <row r="3227" spans="1:1">
      <c r="A3227" s="99"/>
    </row>
    <row r="3228" spans="1:1">
      <c r="A3228" s="99"/>
    </row>
    <row r="3229" spans="1:1">
      <c r="A3229" s="99"/>
    </row>
    <row r="3230" spans="1:1">
      <c r="A3230" s="99"/>
    </row>
    <row r="3231" spans="1:1">
      <c r="A3231" s="99"/>
    </row>
    <row r="3232" spans="1:1">
      <c r="A3232" s="99"/>
    </row>
    <row r="3233" spans="1:1">
      <c r="A3233" s="99"/>
    </row>
    <row r="3234" spans="1:1">
      <c r="A3234" s="99"/>
    </row>
    <row r="3235" spans="1:1">
      <c r="A3235" s="99"/>
    </row>
    <row r="3236" spans="1:1">
      <c r="A3236" s="99"/>
    </row>
    <row r="3237" spans="1:1">
      <c r="A3237" s="99"/>
    </row>
    <row r="3238" spans="1:1">
      <c r="A3238" s="99"/>
    </row>
    <row r="3239" spans="1:1">
      <c r="A3239" s="99"/>
    </row>
    <row r="3240" spans="1:1">
      <c r="A3240" s="99"/>
    </row>
    <row r="3241" spans="1:1">
      <c r="A3241" s="99"/>
    </row>
    <row r="3242" spans="1:1">
      <c r="A3242" s="99"/>
    </row>
    <row r="3243" spans="1:1">
      <c r="A3243" s="99"/>
    </row>
    <row r="3244" spans="1:1">
      <c r="A3244" s="99"/>
    </row>
    <row r="3245" spans="1:1">
      <c r="A3245" s="99"/>
    </row>
    <row r="3246" spans="1:1">
      <c r="A3246" s="99"/>
    </row>
    <row r="3247" spans="1:1">
      <c r="A3247" s="99"/>
    </row>
    <row r="3248" spans="1:1">
      <c r="A3248" s="99"/>
    </row>
    <row r="3249" spans="1:1">
      <c r="A3249" s="99"/>
    </row>
    <row r="3251" spans="1:1">
      <c r="A3251" s="99"/>
    </row>
    <row r="3252" spans="1:1">
      <c r="A3252" s="99"/>
    </row>
    <row r="3253" spans="1:1">
      <c r="A3253" s="99"/>
    </row>
    <row r="3254" spans="1:1">
      <c r="A3254" s="99"/>
    </row>
    <row r="3255" spans="1:1">
      <c r="A3255" s="99"/>
    </row>
    <row r="3256" spans="1:1">
      <c r="A3256" s="99"/>
    </row>
    <row r="3257" spans="1:1">
      <c r="A3257" s="99"/>
    </row>
    <row r="3258" spans="1:1">
      <c r="A3258" s="99"/>
    </row>
    <row r="3259" spans="1:1">
      <c r="A3259" s="99"/>
    </row>
    <row r="3260" spans="1:1">
      <c r="A3260" s="99"/>
    </row>
    <row r="3261" spans="1:1">
      <c r="A3261" s="99"/>
    </row>
    <row r="3262" spans="1:1">
      <c r="A3262" s="99"/>
    </row>
    <row r="3263" spans="1:1">
      <c r="A3263" s="99"/>
    </row>
    <row r="3264" spans="1:1">
      <c r="A3264" s="99"/>
    </row>
    <row r="3265" spans="1:1">
      <c r="A3265" s="99"/>
    </row>
    <row r="3266" spans="1:1">
      <c r="A3266" s="99"/>
    </row>
    <row r="3267" spans="1:1">
      <c r="A3267" s="99"/>
    </row>
    <row r="3268" spans="1:1">
      <c r="A3268" s="99"/>
    </row>
    <row r="3269" spans="1:1">
      <c r="A3269" s="99"/>
    </row>
    <row r="3270" spans="1:1">
      <c r="A3270" s="99"/>
    </row>
    <row r="3271" spans="1:1">
      <c r="A3271" s="99"/>
    </row>
    <row r="3272" spans="1:1">
      <c r="A3272" s="99"/>
    </row>
    <row r="3274" spans="1:1">
      <c r="A3274" s="99"/>
    </row>
    <row r="3275" spans="1:1">
      <c r="A3275" s="99"/>
    </row>
    <row r="3276" spans="1:1">
      <c r="A3276" s="99"/>
    </row>
    <row r="3277" spans="1:1">
      <c r="A3277" s="99"/>
    </row>
    <row r="3278" spans="1:1">
      <c r="A3278" s="99"/>
    </row>
    <row r="3279" spans="1:1">
      <c r="A3279" s="99"/>
    </row>
    <row r="3280" spans="1:1">
      <c r="A3280" s="99"/>
    </row>
    <row r="3281" spans="1:1">
      <c r="A3281" s="99"/>
    </row>
    <row r="3282" spans="1:1">
      <c r="A3282" s="99"/>
    </row>
    <row r="3283" spans="1:1">
      <c r="A3283" s="99"/>
    </row>
    <row r="3284" spans="1:1">
      <c r="A3284" s="99"/>
    </row>
    <row r="3285" spans="1:1">
      <c r="A3285" s="99"/>
    </row>
    <row r="3286" spans="1:1">
      <c r="A3286" s="99"/>
    </row>
    <row r="3287" spans="1:1">
      <c r="A3287" s="99"/>
    </row>
    <row r="3288" spans="1:1">
      <c r="A3288" s="99"/>
    </row>
    <row r="3289" spans="1:1">
      <c r="A3289" s="99"/>
    </row>
    <row r="3290" spans="1:1">
      <c r="A3290" s="99"/>
    </row>
    <row r="3291" spans="1:1">
      <c r="A3291" s="99"/>
    </row>
    <row r="3292" spans="1:1">
      <c r="A3292" s="99"/>
    </row>
    <row r="3293" spans="1:1">
      <c r="A3293" s="99"/>
    </row>
    <row r="3294" spans="1:1">
      <c r="A3294" s="99"/>
    </row>
    <row r="3295" spans="1:1">
      <c r="A3295" s="99"/>
    </row>
    <row r="3296" spans="1:1">
      <c r="A3296" s="99"/>
    </row>
    <row r="3297" spans="1:1">
      <c r="A3297" s="99"/>
    </row>
    <row r="3298" spans="1:1">
      <c r="A3298" s="99"/>
    </row>
    <row r="3299" spans="1:1">
      <c r="A3299" s="99"/>
    </row>
    <row r="3300" spans="1:1">
      <c r="A3300" s="99"/>
    </row>
    <row r="3301" spans="1:1">
      <c r="A3301" s="99"/>
    </row>
    <row r="3302" spans="1:1">
      <c r="A3302" s="99"/>
    </row>
    <row r="3303" spans="1:1">
      <c r="A3303" s="99"/>
    </row>
    <row r="3304" spans="1:1">
      <c r="A3304" s="99"/>
    </row>
    <row r="3305" spans="1:1">
      <c r="A3305" s="99"/>
    </row>
    <row r="3306" spans="1:1">
      <c r="A3306" s="99"/>
    </row>
    <row r="3307" spans="1:1">
      <c r="A3307" s="99"/>
    </row>
    <row r="3308" spans="1:1">
      <c r="A3308" s="99"/>
    </row>
    <row r="3309" spans="1:1">
      <c r="A3309" s="99"/>
    </row>
    <row r="3310" spans="1:1">
      <c r="A3310" s="99"/>
    </row>
    <row r="3311" spans="1:1">
      <c r="A3311" s="99"/>
    </row>
    <row r="3312" spans="1:1">
      <c r="A3312" s="99"/>
    </row>
    <row r="3313" spans="1:1">
      <c r="A3313" s="99"/>
    </row>
    <row r="3314" spans="1:1">
      <c r="A3314" s="99"/>
    </row>
    <row r="3315" spans="1:1">
      <c r="A3315" s="99"/>
    </row>
    <row r="3316" spans="1:1">
      <c r="A3316" s="99"/>
    </row>
    <row r="3317" spans="1:1">
      <c r="A3317" s="99"/>
    </row>
    <row r="3319" spans="1:1">
      <c r="A3319" s="99"/>
    </row>
    <row r="3321" spans="1:1">
      <c r="A3321" s="99"/>
    </row>
    <row r="3322" spans="1:1">
      <c r="A3322" s="99"/>
    </row>
    <row r="3323" spans="1:1">
      <c r="A3323" s="99"/>
    </row>
    <row r="3324" spans="1:1">
      <c r="A3324" s="99"/>
    </row>
    <row r="3325" spans="1:1">
      <c r="A3325" s="99"/>
    </row>
    <row r="3327" spans="1:1">
      <c r="A3327" s="99"/>
    </row>
    <row r="3329" spans="1:1">
      <c r="A3329" s="99"/>
    </row>
    <row r="3331" spans="1:1">
      <c r="A3331" s="99"/>
    </row>
    <row r="3332" spans="1:1">
      <c r="A3332" s="99"/>
    </row>
    <row r="3333" spans="1:1">
      <c r="A3333" s="99"/>
    </row>
    <row r="3334" spans="1:1">
      <c r="A3334" s="99"/>
    </row>
    <row r="3336" spans="1:1">
      <c r="A3336" s="99"/>
    </row>
    <row r="3337" spans="1:1">
      <c r="A3337" s="99"/>
    </row>
    <row r="3338" spans="1:1">
      <c r="A3338" s="99"/>
    </row>
    <row r="3339" spans="1:1">
      <c r="A3339" s="99"/>
    </row>
    <row r="3341" spans="1:1">
      <c r="A3341" s="99"/>
    </row>
    <row r="3342" spans="1:1">
      <c r="A3342" s="99"/>
    </row>
    <row r="3343" spans="1:1">
      <c r="A3343" s="99"/>
    </row>
    <row r="3344" spans="1:1">
      <c r="A3344" s="99"/>
    </row>
    <row r="3346" spans="1:1">
      <c r="A3346" s="99"/>
    </row>
    <row r="3347" spans="1:1">
      <c r="A3347" s="99"/>
    </row>
    <row r="3348" spans="1:1">
      <c r="A3348" s="99"/>
    </row>
    <row r="3349" spans="1:1">
      <c r="A3349" s="99"/>
    </row>
    <row r="3350" spans="1:1">
      <c r="A3350" s="99"/>
    </row>
    <row r="3352" spans="1:1">
      <c r="A3352" s="99"/>
    </row>
    <row r="3353" spans="1:1">
      <c r="A3353" s="99"/>
    </row>
    <row r="3354" spans="1:1">
      <c r="A3354" s="99"/>
    </row>
    <row r="3355" spans="1:1">
      <c r="A3355" s="99"/>
    </row>
    <row r="3357" spans="1:1">
      <c r="A3357" s="99"/>
    </row>
    <row r="3358" spans="1:1">
      <c r="A3358" s="99"/>
    </row>
    <row r="3359" spans="1:1">
      <c r="A3359" s="99"/>
    </row>
    <row r="3360" spans="1:1">
      <c r="A3360" s="99"/>
    </row>
    <row r="3361" spans="1:1">
      <c r="A3361" s="99"/>
    </row>
    <row r="3363" spans="1:1">
      <c r="A3363" s="99"/>
    </row>
    <row r="3364" spans="1:1">
      <c r="A3364" s="99"/>
    </row>
    <row r="3365" spans="1:1">
      <c r="A3365" s="99"/>
    </row>
    <row r="3366" spans="1:1">
      <c r="A3366" s="99"/>
    </row>
    <row r="3368" spans="1:1">
      <c r="A3368" s="99"/>
    </row>
    <row r="3369" spans="1:1">
      <c r="A3369" s="99"/>
    </row>
    <row r="3370" spans="1:1">
      <c r="A3370" s="99"/>
    </row>
    <row r="3371" spans="1:1">
      <c r="A3371" s="99"/>
    </row>
    <row r="3373" spans="1:1">
      <c r="A3373" s="99"/>
    </row>
    <row r="3374" spans="1:1">
      <c r="A3374" s="99"/>
    </row>
    <row r="3375" spans="1:1">
      <c r="A3375" s="99"/>
    </row>
    <row r="3376" spans="1:1">
      <c r="A3376" s="99"/>
    </row>
    <row r="3378" spans="1:1">
      <c r="A3378" s="99"/>
    </row>
    <row r="3379" spans="1:1">
      <c r="A3379" s="99"/>
    </row>
    <row r="3380" spans="1:1">
      <c r="A3380" s="99"/>
    </row>
    <row r="3381" spans="1:1">
      <c r="A3381" s="99"/>
    </row>
    <row r="3382" spans="1:1">
      <c r="A3382" s="99"/>
    </row>
    <row r="3384" spans="1:1">
      <c r="A3384" s="99"/>
    </row>
    <row r="3385" spans="1:1">
      <c r="A3385" s="99"/>
    </row>
    <row r="3386" spans="1:1">
      <c r="A3386" s="99"/>
    </row>
    <row r="3387" spans="1:1">
      <c r="A3387" s="99"/>
    </row>
    <row r="3389" spans="1:1">
      <c r="A3389" s="99"/>
    </row>
    <row r="3390" spans="1:1">
      <c r="A3390" s="99"/>
    </row>
    <row r="3391" spans="1:1">
      <c r="A3391" s="99"/>
    </row>
    <row r="3392" spans="1:1">
      <c r="A3392" s="99"/>
    </row>
    <row r="3393" spans="1:1">
      <c r="A3393" s="99"/>
    </row>
    <row r="3395" spans="1:1">
      <c r="A3395" s="99"/>
    </row>
    <row r="3396" spans="1:1">
      <c r="A3396" s="99"/>
    </row>
    <row r="3397" spans="1:1">
      <c r="A3397" s="99"/>
    </row>
    <row r="3398" spans="1:1">
      <c r="A3398" s="99"/>
    </row>
    <row r="3400" spans="1:1">
      <c r="A3400" s="99"/>
    </row>
    <row r="3401" spans="1:1">
      <c r="A3401" s="99"/>
    </row>
    <row r="3402" spans="1:1">
      <c r="A3402" s="99"/>
    </row>
    <row r="3403" spans="1:1">
      <c r="A3403" s="99"/>
    </row>
    <row r="3404" spans="1:1">
      <c r="A3404" s="99"/>
    </row>
    <row r="3406" spans="1:1">
      <c r="A3406" s="99"/>
    </row>
    <row r="3407" spans="1:1">
      <c r="A3407" s="99"/>
    </row>
    <row r="3408" spans="1:1">
      <c r="A3408" s="99"/>
    </row>
    <row r="3409" spans="1:1">
      <c r="A3409" s="99"/>
    </row>
    <row r="3411" spans="1:1">
      <c r="A3411" s="99"/>
    </row>
    <row r="3412" spans="1:1">
      <c r="A3412" s="99"/>
    </row>
    <row r="3413" spans="1:1">
      <c r="A3413" s="99"/>
    </row>
    <row r="3414" spans="1:1">
      <c r="A3414" s="99"/>
    </row>
    <row r="3416" spans="1:1">
      <c r="A3416" s="99"/>
    </row>
    <row r="3418" spans="1:1">
      <c r="A3418" s="99"/>
    </row>
    <row r="3420" spans="1:1">
      <c r="A3420" s="99"/>
    </row>
    <row r="3421" spans="1:1">
      <c r="A3421" s="99"/>
    </row>
    <row r="3422" spans="1:1">
      <c r="A3422" s="99"/>
    </row>
    <row r="3423" spans="1:1">
      <c r="A3423" s="99"/>
    </row>
    <row r="3425" spans="1:1">
      <c r="A3425" s="99"/>
    </row>
    <row r="3426" spans="1:1">
      <c r="A3426" s="99"/>
    </row>
    <row r="3427" spans="1:1">
      <c r="A3427" s="99"/>
    </row>
    <row r="3428" spans="1:1">
      <c r="A3428" s="99"/>
    </row>
    <row r="3430" spans="1:1">
      <c r="A3430" s="99"/>
    </row>
    <row r="3432" spans="1:1">
      <c r="A3432" s="99"/>
    </row>
    <row r="3433" spans="1:1">
      <c r="A3433" s="99"/>
    </row>
    <row r="3434" spans="1:1">
      <c r="A3434" s="99"/>
    </row>
    <row r="3435" spans="1:1">
      <c r="A3435" s="99"/>
    </row>
    <row r="3437" spans="1:1">
      <c r="A3437" s="99"/>
    </row>
    <row r="3438" spans="1:1">
      <c r="A3438" s="99"/>
    </row>
    <row r="3440" spans="1:1">
      <c r="A3440" s="99"/>
    </row>
    <row r="3442" spans="1:1">
      <c r="A3442" s="99"/>
    </row>
    <row r="3444" spans="1:1">
      <c r="A3444" s="99"/>
    </row>
    <row r="3446" spans="1:1">
      <c r="A3446" s="99"/>
    </row>
    <row r="3448" spans="1:1">
      <c r="A3448" s="99"/>
    </row>
    <row r="3450" spans="1:1">
      <c r="A3450" s="99"/>
    </row>
    <row r="3451" spans="1:1">
      <c r="A3451" s="99"/>
    </row>
    <row r="3452" spans="1:1">
      <c r="A3452" s="99"/>
    </row>
    <row r="3453" spans="1:1">
      <c r="A3453" s="99"/>
    </row>
    <row r="3454" spans="1:1">
      <c r="A3454" s="99"/>
    </row>
    <row r="3455" spans="1:1">
      <c r="A3455" s="99"/>
    </row>
    <row r="3456" spans="1:1">
      <c r="A3456" s="99"/>
    </row>
    <row r="3457" spans="1:1">
      <c r="A3457" s="99"/>
    </row>
    <row r="3459" spans="1:1">
      <c r="A3459" s="99"/>
    </row>
    <row r="3460" spans="1:1">
      <c r="A3460" s="99"/>
    </row>
    <row r="3461" spans="1:1">
      <c r="A3461" s="99"/>
    </row>
    <row r="3463" spans="1:1">
      <c r="A3463" s="99"/>
    </row>
    <row r="3464" spans="1:1">
      <c r="A3464" s="99"/>
    </row>
    <row r="3466" spans="1:1">
      <c r="A3466" s="99"/>
    </row>
    <row r="3467" spans="1:1">
      <c r="A3467" s="99"/>
    </row>
    <row r="3469" spans="1:1">
      <c r="A3469" s="99"/>
    </row>
    <row r="3470" spans="1:1">
      <c r="A3470" s="99"/>
    </row>
    <row r="3472" spans="1:1">
      <c r="A3472" s="99"/>
    </row>
    <row r="3473" spans="1:1">
      <c r="A3473" s="99"/>
    </row>
    <row r="3474" spans="1:1">
      <c r="A3474" s="99"/>
    </row>
    <row r="3476" spans="1:1">
      <c r="A3476" s="99"/>
    </row>
    <row r="3477" spans="1:1">
      <c r="A3477" s="99"/>
    </row>
    <row r="3478" spans="1:1">
      <c r="A3478" s="99"/>
    </row>
    <row r="3480" spans="1:1">
      <c r="A3480" s="99"/>
    </row>
    <row r="3481" spans="1:1">
      <c r="A3481" s="99"/>
    </row>
    <row r="3483" spans="1:1">
      <c r="A3483" s="99"/>
    </row>
    <row r="3485" spans="1:1">
      <c r="A3485" s="99"/>
    </row>
    <row r="3487" spans="1:1">
      <c r="A3487" s="99"/>
    </row>
    <row r="3489" spans="1:1">
      <c r="A3489" s="99"/>
    </row>
    <row r="3490" spans="1:1">
      <c r="A3490" s="99"/>
    </row>
    <row r="3492" spans="1:1">
      <c r="A3492" s="99"/>
    </row>
    <row r="3494" spans="1:1">
      <c r="A3494" s="99"/>
    </row>
    <row r="3495" spans="1:1">
      <c r="A3495" s="99"/>
    </row>
    <row r="3497" spans="1:1">
      <c r="A3497" s="99"/>
    </row>
    <row r="3499" spans="1:1">
      <c r="A3499" s="99"/>
    </row>
    <row r="3500" spans="1:1">
      <c r="A3500" s="99"/>
    </row>
    <row r="3502" spans="1:1">
      <c r="A3502" s="99"/>
    </row>
    <row r="3504" spans="1:1">
      <c r="A3504" s="99"/>
    </row>
    <row r="3506" spans="1:1">
      <c r="A3506" s="99"/>
    </row>
    <row r="3508" spans="1:1">
      <c r="A3508" s="99"/>
    </row>
    <row r="3509" spans="1:1">
      <c r="A3509" s="99"/>
    </row>
    <row r="3510" spans="1:1">
      <c r="A3510" s="99"/>
    </row>
    <row r="3511" spans="1:1">
      <c r="A3511" s="99"/>
    </row>
    <row r="3512" spans="1:1">
      <c r="A3512" s="99"/>
    </row>
    <row r="3513" spans="1:1">
      <c r="A3513" s="99"/>
    </row>
    <row r="3514" spans="1:1">
      <c r="A3514" s="99"/>
    </row>
    <row r="3515" spans="1:1">
      <c r="A3515" s="99"/>
    </row>
    <row r="3516" spans="1:1">
      <c r="A3516" s="99"/>
    </row>
    <row r="3517" spans="1:1">
      <c r="A3517" s="99"/>
    </row>
    <row r="3518" spans="1:1">
      <c r="A3518" s="99"/>
    </row>
    <row r="3519" spans="1:1">
      <c r="A3519" s="99"/>
    </row>
    <row r="3520" spans="1:1">
      <c r="A3520" s="99"/>
    </row>
    <row r="3521" spans="1:1">
      <c r="A3521" s="99"/>
    </row>
    <row r="3522" spans="1:1">
      <c r="A3522" s="99"/>
    </row>
    <row r="3524" spans="1:1">
      <c r="A3524" s="99"/>
    </row>
    <row r="3526" spans="1:1">
      <c r="A3526" s="99"/>
    </row>
    <row r="3527" spans="1:1">
      <c r="A3527" s="99"/>
    </row>
    <row r="3529" spans="1:1">
      <c r="A3529" s="99"/>
    </row>
    <row r="3531" spans="1:1">
      <c r="A3531" s="99"/>
    </row>
    <row r="3532" spans="1:1">
      <c r="A3532" s="99"/>
    </row>
    <row r="3533" spans="1:1">
      <c r="A3533" s="99"/>
    </row>
    <row r="3535" spans="1:1">
      <c r="A3535" s="99"/>
    </row>
    <row r="3537" spans="1:1">
      <c r="A3537" s="99"/>
    </row>
    <row r="3539" spans="1:1">
      <c r="A3539" s="99"/>
    </row>
    <row r="3540" spans="1:1">
      <c r="A3540" s="99"/>
    </row>
    <row r="3541" spans="1:1">
      <c r="A3541" s="99"/>
    </row>
    <row r="3542" spans="1:1">
      <c r="A3542" s="99"/>
    </row>
    <row r="3544" spans="1:1">
      <c r="A3544" s="99"/>
    </row>
    <row r="3546" spans="1:1">
      <c r="A3546" s="99"/>
    </row>
    <row r="3547" spans="1:1">
      <c r="A3547" s="99"/>
    </row>
    <row r="3548" spans="1:1">
      <c r="A3548" s="99"/>
    </row>
    <row r="3549" spans="1:1">
      <c r="A3549" s="99"/>
    </row>
    <row r="3550" spans="1:1">
      <c r="A3550" s="99"/>
    </row>
    <row r="3551" spans="1:1">
      <c r="A3551" s="99"/>
    </row>
    <row r="3552" spans="1:1">
      <c r="A3552" s="99"/>
    </row>
    <row r="3553" spans="1:1">
      <c r="A3553" s="99"/>
    </row>
    <row r="3554" spans="1:1">
      <c r="A3554" s="99"/>
    </row>
    <row r="3555" spans="1:1">
      <c r="A3555" s="99"/>
    </row>
    <row r="3556" spans="1:1">
      <c r="A3556" s="99"/>
    </row>
    <row r="3557" spans="1:1">
      <c r="A3557" s="99"/>
    </row>
    <row r="3558" spans="1:1">
      <c r="A3558" s="99"/>
    </row>
    <row r="3559" spans="1:1">
      <c r="A3559" s="99"/>
    </row>
    <row r="3560" spans="1:1">
      <c r="A3560" s="99"/>
    </row>
    <row r="3561" spans="1:1">
      <c r="A3561" s="99"/>
    </row>
    <row r="3562" spans="1:1">
      <c r="A3562" s="99"/>
    </row>
    <row r="3563" spans="1:1">
      <c r="A3563" s="99"/>
    </row>
    <row r="3564" spans="1:1">
      <c r="A3564" s="99"/>
    </row>
    <row r="3565" spans="1:1">
      <c r="A3565" s="99"/>
    </row>
    <row r="3567" spans="1:1">
      <c r="A3567" s="99"/>
    </row>
    <row r="3568" spans="1:1">
      <c r="A3568" s="99"/>
    </row>
    <row r="3569" spans="1:1">
      <c r="A3569" s="99"/>
    </row>
    <row r="3570" spans="1:1">
      <c r="A3570" s="99"/>
    </row>
    <row r="3571" spans="1:1">
      <c r="A3571" s="99"/>
    </row>
    <row r="3572" spans="1:1">
      <c r="A3572" s="99"/>
    </row>
    <row r="3573" spans="1:1">
      <c r="A3573" s="99"/>
    </row>
    <row r="3574" spans="1:1">
      <c r="A3574" s="99"/>
    </row>
    <row r="3575" spans="1:1">
      <c r="A3575" s="99"/>
    </row>
    <row r="3576" spans="1:1">
      <c r="A3576" s="99"/>
    </row>
    <row r="3577" spans="1:1">
      <c r="A3577" s="99"/>
    </row>
    <row r="3578" spans="1:1">
      <c r="A3578" s="99"/>
    </row>
    <row r="3579" spans="1:1">
      <c r="A3579" s="99"/>
    </row>
    <row r="3580" spans="1:1">
      <c r="A3580" s="99"/>
    </row>
    <row r="3581" spans="1:1">
      <c r="A3581" s="99"/>
    </row>
    <row r="3582" spans="1:1">
      <c r="A3582" s="99"/>
    </row>
    <row r="3583" spans="1:1">
      <c r="A3583" s="99"/>
    </row>
    <row r="3584" spans="1:1">
      <c r="A3584" s="99"/>
    </row>
    <row r="3585" spans="1:1">
      <c r="A3585" s="99"/>
    </row>
    <row r="3586" spans="1:1">
      <c r="A3586" s="99"/>
    </row>
    <row r="3588" spans="1:1">
      <c r="A3588" s="99"/>
    </row>
    <row r="3590" spans="1:1">
      <c r="A3590" s="99"/>
    </row>
    <row r="3591" spans="1:1">
      <c r="A3591" s="99"/>
    </row>
    <row r="3592" spans="1:1">
      <c r="A3592" s="99"/>
    </row>
    <row r="3593" spans="1:1">
      <c r="A3593" s="99"/>
    </row>
    <row r="3594" spans="1:1">
      <c r="A3594" s="99"/>
    </row>
    <row r="3595" spans="1:1">
      <c r="A3595" s="99"/>
    </row>
    <row r="3596" spans="1:1">
      <c r="A3596" s="99"/>
    </row>
    <row r="3597" spans="1:1">
      <c r="A3597" s="99"/>
    </row>
    <row r="3598" spans="1:1">
      <c r="A3598" s="99"/>
    </row>
    <row r="3599" spans="1:1">
      <c r="A3599" s="99"/>
    </row>
    <row r="3600" spans="1:1">
      <c r="A3600" s="99"/>
    </row>
    <row r="3601" spans="1:1">
      <c r="A3601" s="99"/>
    </row>
    <row r="3602" spans="1:1">
      <c r="A3602" s="99"/>
    </row>
    <row r="3603" spans="1:1">
      <c r="A3603" s="99"/>
    </row>
    <row r="3604" spans="1:1">
      <c r="A3604" s="99"/>
    </row>
    <row r="3605" spans="1:1">
      <c r="A3605" s="99"/>
    </row>
    <row r="3606" spans="1:1">
      <c r="A3606" s="99"/>
    </row>
    <row r="3607" spans="1:1">
      <c r="A3607" s="99"/>
    </row>
    <row r="3608" spans="1:1">
      <c r="A3608" s="99"/>
    </row>
    <row r="3609" spans="1:1">
      <c r="A3609" s="99"/>
    </row>
    <row r="3611" spans="1:1">
      <c r="A3611" s="99"/>
    </row>
    <row r="3612" spans="1:1">
      <c r="A3612" s="99"/>
    </row>
    <row r="3613" spans="1:1">
      <c r="A3613" s="99"/>
    </row>
    <row r="3614" spans="1:1">
      <c r="A3614" s="99"/>
    </row>
    <row r="3615" spans="1:1">
      <c r="A3615" s="99"/>
    </row>
    <row r="3616" spans="1:1">
      <c r="A3616" s="99"/>
    </row>
    <row r="3617" spans="1:1">
      <c r="A3617" s="99"/>
    </row>
    <row r="3618" spans="1:1">
      <c r="A3618" s="99"/>
    </row>
    <row r="3619" spans="1:1">
      <c r="A3619" s="99"/>
    </row>
    <row r="3620" spans="1:1">
      <c r="A3620" s="99"/>
    </row>
    <row r="3621" spans="1:1">
      <c r="A3621" s="99"/>
    </row>
    <row r="3622" spans="1:1">
      <c r="A3622" s="99"/>
    </row>
    <row r="3624" spans="1:1">
      <c r="A3624" s="99"/>
    </row>
    <row r="3626" spans="1:1">
      <c r="A3626" s="99"/>
    </row>
    <row r="3627" spans="1:1">
      <c r="A3627" s="99"/>
    </row>
    <row r="3629" spans="1:1">
      <c r="A3629" s="99"/>
    </row>
    <row r="3631" spans="1:1">
      <c r="A3631" s="99"/>
    </row>
    <row r="3632" spans="1:1">
      <c r="A3632" s="99"/>
    </row>
    <row r="3633" spans="1:1">
      <c r="A3633" s="99"/>
    </row>
    <row r="3634" spans="1:1">
      <c r="A3634" s="99"/>
    </row>
    <row r="3636" spans="1:1">
      <c r="A3636" s="99"/>
    </row>
    <row r="3637" spans="1:1">
      <c r="A3637" s="99"/>
    </row>
    <row r="3638" spans="1:1">
      <c r="A3638" s="99"/>
    </row>
    <row r="3639" spans="1:1">
      <c r="A3639" s="99"/>
    </row>
    <row r="3641" spans="1:1">
      <c r="A3641" s="99"/>
    </row>
    <row r="3643" spans="1:1">
      <c r="A3643" s="99"/>
    </row>
    <row r="3645" spans="1:1">
      <c r="A3645" s="99"/>
    </row>
    <row r="3646" spans="1:1">
      <c r="A3646" s="99"/>
    </row>
    <row r="3648" spans="1:1">
      <c r="A3648" s="99"/>
    </row>
    <row r="3650" spans="1:1">
      <c r="A3650" s="99"/>
    </row>
    <row r="3652" spans="1:1">
      <c r="A3652" s="99"/>
    </row>
    <row r="3654" spans="1:1">
      <c r="A3654" s="99"/>
    </row>
    <row r="3656" spans="1:1">
      <c r="A3656" s="99"/>
    </row>
    <row r="3658" spans="1:1">
      <c r="A3658" s="99"/>
    </row>
    <row r="3660" spans="1:1">
      <c r="A3660" s="99"/>
    </row>
    <row r="3662" spans="1:1">
      <c r="A3662" s="99"/>
    </row>
    <row r="3664" spans="1:1">
      <c r="A3664" s="99"/>
    </row>
    <row r="3666" spans="1:1">
      <c r="A3666" s="99"/>
    </row>
    <row r="3667" spans="1:1">
      <c r="A3667" s="99"/>
    </row>
    <row r="3669" spans="1:1">
      <c r="A3669" s="99"/>
    </row>
    <row r="3671" spans="1:1">
      <c r="A3671" s="99"/>
    </row>
    <row r="3672" spans="1:1">
      <c r="A3672" s="99"/>
    </row>
    <row r="3673" spans="1:1">
      <c r="A3673" s="99"/>
    </row>
    <row r="3674" spans="1:1">
      <c r="A3674" s="99"/>
    </row>
    <row r="3675" spans="1:1">
      <c r="A3675" s="99"/>
    </row>
    <row r="3677" spans="1:1">
      <c r="A3677" s="99"/>
    </row>
    <row r="3679" spans="1:1">
      <c r="A3679" s="99"/>
    </row>
    <row r="3681" spans="1:1">
      <c r="A3681" s="99"/>
    </row>
    <row r="3683" spans="1:1">
      <c r="A3683" s="99"/>
    </row>
    <row r="3684" spans="1:1">
      <c r="A3684" s="99"/>
    </row>
    <row r="3686" spans="1:1">
      <c r="A3686" s="99"/>
    </row>
    <row r="3687" spans="1:1">
      <c r="A3687" s="99"/>
    </row>
    <row r="3689" spans="1:1">
      <c r="A3689" s="99"/>
    </row>
    <row r="3691" spans="1:1">
      <c r="A3691" s="99"/>
    </row>
    <row r="3693" spans="1:1">
      <c r="A3693" s="99"/>
    </row>
    <row r="3695" spans="1:1">
      <c r="A3695" s="99"/>
    </row>
    <row r="3697" spans="1:1">
      <c r="A3697" s="99"/>
    </row>
    <row r="3699" spans="1:1">
      <c r="A3699" s="99"/>
    </row>
    <row r="3701" spans="1:1">
      <c r="A3701" s="99"/>
    </row>
    <row r="3702" spans="1:1">
      <c r="A3702" s="99"/>
    </row>
    <row r="3703" spans="1:1">
      <c r="A3703" s="99"/>
    </row>
    <row r="3705" spans="1:1">
      <c r="A3705" s="99"/>
    </row>
    <row r="3707" spans="1:1">
      <c r="A3707" s="99"/>
    </row>
    <row r="3709" spans="1:1">
      <c r="A3709" s="99"/>
    </row>
    <row r="3711" spans="1:1">
      <c r="A3711" s="99"/>
    </row>
    <row r="3712" spans="1:1">
      <c r="A3712" s="99"/>
    </row>
    <row r="3713" spans="1:1">
      <c r="A3713" s="99"/>
    </row>
    <row r="3714" spans="1:1">
      <c r="A3714" s="99"/>
    </row>
    <row r="3715" spans="1:1">
      <c r="A3715" s="99"/>
    </row>
    <row r="3716" spans="1:1">
      <c r="A3716" s="99"/>
    </row>
    <row r="3717" spans="1:1">
      <c r="A3717" s="99"/>
    </row>
    <row r="3718" spans="1:1">
      <c r="A3718" s="99"/>
    </row>
    <row r="3719" spans="1:1">
      <c r="A3719" s="99"/>
    </row>
    <row r="3720" spans="1:1">
      <c r="A3720" s="99"/>
    </row>
    <row r="3721" spans="1:1">
      <c r="A3721" s="99"/>
    </row>
    <row r="3722" spans="1:1">
      <c r="A3722" s="99"/>
    </row>
    <row r="3723" spans="1:1">
      <c r="A3723" s="99"/>
    </row>
    <row r="3724" spans="1:1">
      <c r="A3724" s="99"/>
    </row>
    <row r="3725" spans="1:1">
      <c r="A3725" s="99"/>
    </row>
    <row r="3726" spans="1:1">
      <c r="A3726" s="99"/>
    </row>
    <row r="3727" spans="1:1">
      <c r="A3727" s="99"/>
    </row>
    <row r="3728" spans="1:1">
      <c r="A3728" s="99"/>
    </row>
    <row r="3729" spans="1:1">
      <c r="A3729" s="99"/>
    </row>
    <row r="3730" spans="1:1">
      <c r="A3730" s="99"/>
    </row>
    <row r="3731" spans="1:1">
      <c r="A3731" s="99"/>
    </row>
    <row r="3732" spans="1:1">
      <c r="A3732" s="99"/>
    </row>
    <row r="3733" spans="1:1">
      <c r="A3733" s="99"/>
    </row>
    <row r="3734" spans="1:1">
      <c r="A3734" s="99"/>
    </row>
    <row r="3735" spans="1:1">
      <c r="A3735" s="99"/>
    </row>
    <row r="3736" spans="1:1">
      <c r="A3736" s="99"/>
    </row>
    <row r="3737" spans="1:1">
      <c r="A3737" s="99"/>
    </row>
    <row r="3738" spans="1:1">
      <c r="A3738" s="99"/>
    </row>
    <row r="3739" spans="1:1">
      <c r="A3739" s="99"/>
    </row>
    <row r="3740" spans="1:1">
      <c r="A3740" s="99"/>
    </row>
    <row r="3741" spans="1:1">
      <c r="A3741" s="99"/>
    </row>
    <row r="3742" spans="1:1">
      <c r="A3742" s="99"/>
    </row>
    <row r="3745" spans="1:1">
      <c r="A3745" s="99"/>
    </row>
    <row r="3746" spans="1:1">
      <c r="A3746" s="99"/>
    </row>
    <row r="3747" spans="1:1">
      <c r="A3747" s="99"/>
    </row>
    <row r="3749" spans="1:1">
      <c r="A3749" s="99"/>
    </row>
    <row r="3750" spans="1:1">
      <c r="A3750" s="99"/>
    </row>
    <row r="3751" spans="1:1">
      <c r="A3751" s="99"/>
    </row>
    <row r="3752" spans="1:1">
      <c r="A3752" s="99"/>
    </row>
    <row r="3753" spans="1:1">
      <c r="A3753" s="99"/>
    </row>
    <row r="3755" spans="1:1">
      <c r="A3755" s="99"/>
    </row>
    <row r="3756" spans="1:1">
      <c r="A3756" s="99"/>
    </row>
    <row r="3757" spans="1:1">
      <c r="A3757" s="99"/>
    </row>
    <row r="3758" spans="1:1">
      <c r="A3758" s="99"/>
    </row>
    <row r="3759" spans="1:1">
      <c r="A3759" s="99"/>
    </row>
    <row r="3760" spans="1:1">
      <c r="A3760" s="99"/>
    </row>
    <row r="3761" spans="1:1">
      <c r="A3761" s="99"/>
    </row>
    <row r="3762" spans="1:1">
      <c r="A3762" s="99"/>
    </row>
    <row r="3763" spans="1:1">
      <c r="A3763" s="99"/>
    </row>
    <row r="3764" spans="1:1">
      <c r="A3764" s="99"/>
    </row>
    <row r="3765" spans="1:1">
      <c r="A3765" s="99"/>
    </row>
    <row r="3766" spans="1:1">
      <c r="A3766" s="99"/>
    </row>
    <row r="3767" spans="1:1">
      <c r="A3767" s="99"/>
    </row>
    <row r="3768" spans="1:1">
      <c r="A3768" s="99"/>
    </row>
    <row r="3769" spans="1:1">
      <c r="A3769" s="99"/>
    </row>
    <row r="3770" spans="1:1">
      <c r="A3770" s="99"/>
    </row>
    <row r="3771" spans="1:1">
      <c r="A3771" s="99"/>
    </row>
    <row r="3772" spans="1:1">
      <c r="A3772" s="99"/>
    </row>
    <row r="3773" spans="1:1">
      <c r="A3773" s="99"/>
    </row>
    <row r="3774" spans="1:1">
      <c r="A3774" s="99"/>
    </row>
    <row r="3775" spans="1:1">
      <c r="A3775" s="99"/>
    </row>
    <row r="3776" spans="1:1">
      <c r="A3776" s="99"/>
    </row>
    <row r="3777" spans="1:1">
      <c r="A3777" s="99"/>
    </row>
    <row r="3778" spans="1:1">
      <c r="A3778" s="99"/>
    </row>
    <row r="3779" spans="1:1">
      <c r="A3779" s="99"/>
    </row>
    <row r="3780" spans="1:1">
      <c r="A3780" s="99"/>
    </row>
    <row r="3781" spans="1:1">
      <c r="A3781" s="99"/>
    </row>
    <row r="3782" spans="1:1">
      <c r="A3782" s="99"/>
    </row>
    <row r="3783" spans="1:1">
      <c r="A3783" s="99"/>
    </row>
    <row r="3784" spans="1:1">
      <c r="A3784" s="99"/>
    </row>
    <row r="3785" spans="1:1">
      <c r="A3785" s="99"/>
    </row>
    <row r="3786" spans="1:1">
      <c r="A3786" s="99"/>
    </row>
    <row r="3787" spans="1:1">
      <c r="A3787" s="99"/>
    </row>
    <row r="3788" spans="1:1">
      <c r="A3788" s="99"/>
    </row>
    <row r="3789" spans="1:1">
      <c r="A3789" s="99"/>
    </row>
    <row r="3791" spans="1:1">
      <c r="A3791" s="99"/>
    </row>
    <row r="3793" spans="1:1">
      <c r="A3793" s="99"/>
    </row>
    <row r="3794" spans="1:1">
      <c r="A3794" s="99"/>
    </row>
    <row r="3795" spans="1:1">
      <c r="A3795" s="99"/>
    </row>
    <row r="3796" spans="1:1">
      <c r="A3796" s="99"/>
    </row>
    <row r="3797" spans="1:1">
      <c r="A3797" s="99"/>
    </row>
    <row r="3798" spans="1:1">
      <c r="A3798" s="99"/>
    </row>
    <row r="3800" spans="1:1">
      <c r="A3800" s="99"/>
    </row>
    <row r="3801" spans="1:1">
      <c r="A3801" s="99"/>
    </row>
    <row r="3802" spans="1:1">
      <c r="A3802" s="99"/>
    </row>
    <row r="3803" spans="1:1">
      <c r="A3803" s="99"/>
    </row>
    <row r="3804" spans="1:1">
      <c r="A3804" s="99"/>
    </row>
    <row r="3805" spans="1:1">
      <c r="A3805" s="99"/>
    </row>
    <row r="3807" spans="1:1">
      <c r="A3807" s="99"/>
    </row>
    <row r="3808" spans="1:1">
      <c r="A3808" s="99"/>
    </row>
    <row r="3809" spans="1:1">
      <c r="A3809" s="99"/>
    </row>
    <row r="3810" spans="1:1">
      <c r="A3810" s="99"/>
    </row>
    <row r="3811" spans="1:1">
      <c r="A3811" s="99"/>
    </row>
    <row r="3812" spans="1:1">
      <c r="A3812" s="99"/>
    </row>
    <row r="3814" spans="1:1">
      <c r="A3814" s="99"/>
    </row>
    <row r="3815" spans="1:1">
      <c r="A3815" s="99"/>
    </row>
    <row r="3816" spans="1:1">
      <c r="A3816" s="99"/>
    </row>
    <row r="3817" spans="1:1">
      <c r="A3817" s="99"/>
    </row>
    <row r="3818" spans="1:1">
      <c r="A3818" s="99"/>
    </row>
    <row r="3819" spans="1:1">
      <c r="A3819" s="99"/>
    </row>
    <row r="3821" spans="1:1">
      <c r="A3821" s="99"/>
    </row>
    <row r="3822" spans="1:1">
      <c r="A3822" s="99"/>
    </row>
    <row r="3824" spans="1:1">
      <c r="A3824" s="99"/>
    </row>
    <row r="3826" spans="1:1">
      <c r="A3826" s="99"/>
    </row>
    <row r="3828" spans="1:1">
      <c r="A3828" s="99"/>
    </row>
    <row r="3829" spans="1:1">
      <c r="A3829" s="99"/>
    </row>
    <row r="3831" spans="1:1">
      <c r="A3831" s="99"/>
    </row>
    <row r="3832" spans="1:1">
      <c r="A3832" s="99"/>
    </row>
    <row r="3834" spans="1:1">
      <c r="A3834" s="99"/>
    </row>
    <row r="3836" spans="1:1">
      <c r="A3836" s="99"/>
    </row>
    <row r="3838" spans="1:1">
      <c r="A3838" s="99"/>
    </row>
    <row r="3839" spans="1:1">
      <c r="A3839" s="99"/>
    </row>
    <row r="3840" spans="1:1">
      <c r="A3840" s="99"/>
    </row>
    <row r="3841" spans="1:1">
      <c r="A3841" s="99"/>
    </row>
    <row r="3842" spans="1:1">
      <c r="A3842" s="99"/>
    </row>
    <row r="3844" spans="1:1">
      <c r="A3844" s="99"/>
    </row>
    <row r="3845" spans="1:1">
      <c r="A3845" s="99"/>
    </row>
    <row r="3846" spans="1:1">
      <c r="A3846" s="99"/>
    </row>
    <row r="3847" spans="1:1">
      <c r="A3847" s="99"/>
    </row>
    <row r="3848" spans="1:1">
      <c r="A3848" s="99"/>
    </row>
    <row r="3849" spans="1:1">
      <c r="A3849" s="99"/>
    </row>
    <row r="3850" spans="1:1">
      <c r="A3850" s="99"/>
    </row>
    <row r="3852" spans="1:1">
      <c r="A3852" s="99"/>
    </row>
    <row r="3853" spans="1:1">
      <c r="A3853" s="99"/>
    </row>
    <row r="3855" spans="1:1">
      <c r="A3855" s="99"/>
    </row>
    <row r="3857" spans="1:1">
      <c r="A3857" s="99"/>
    </row>
    <row r="3859" spans="1:1">
      <c r="A3859" s="99"/>
    </row>
    <row r="3860" spans="1:1">
      <c r="A3860" s="99"/>
    </row>
    <row r="3861" spans="1:1">
      <c r="A3861" s="99"/>
    </row>
    <row r="3862" spans="1:1">
      <c r="A3862" s="99"/>
    </row>
    <row r="3863" spans="1:1">
      <c r="A3863" s="99"/>
    </row>
    <row r="3865" spans="1:1">
      <c r="A3865" s="99"/>
    </row>
    <row r="3866" spans="1:1">
      <c r="A3866" s="99"/>
    </row>
    <row r="3868" spans="1:1">
      <c r="A3868" s="99"/>
    </row>
    <row r="3870" spans="1:1">
      <c r="A3870" s="99"/>
    </row>
    <row r="3871" spans="1:1">
      <c r="A3871" s="99"/>
    </row>
    <row r="3872" spans="1:1">
      <c r="A3872" s="99"/>
    </row>
    <row r="3873" spans="1:1">
      <c r="A3873" s="99"/>
    </row>
    <row r="3875" spans="1:1">
      <c r="A3875" s="99"/>
    </row>
    <row r="3876" spans="1:1">
      <c r="A3876" s="99"/>
    </row>
    <row r="3877" spans="1:1">
      <c r="A3877" s="99"/>
    </row>
    <row r="3878" spans="1:1">
      <c r="A3878" s="99"/>
    </row>
    <row r="3880" spans="1:1">
      <c r="A3880" s="99"/>
    </row>
    <row r="3881" spans="1:1">
      <c r="A3881" s="99"/>
    </row>
    <row r="3882" spans="1:1">
      <c r="A3882" s="99"/>
    </row>
    <row r="3883" spans="1:1">
      <c r="A3883" s="99"/>
    </row>
    <row r="3885" spans="1:1">
      <c r="A3885" s="99"/>
    </row>
    <row r="3886" spans="1:1">
      <c r="A3886" s="99"/>
    </row>
    <row r="3888" spans="1:1">
      <c r="A3888" s="99"/>
    </row>
    <row r="3889" spans="1:1">
      <c r="A3889" s="99"/>
    </row>
    <row r="3890" spans="1:1">
      <c r="A3890" s="99"/>
    </row>
    <row r="3891" spans="1:1">
      <c r="A3891" s="99"/>
    </row>
    <row r="3892" spans="1:1">
      <c r="A3892" s="99"/>
    </row>
    <row r="3894" spans="1:1">
      <c r="A3894" s="99"/>
    </row>
    <row r="3895" spans="1:1">
      <c r="A3895" s="99"/>
    </row>
    <row r="3896" spans="1:1">
      <c r="A3896" s="99"/>
    </row>
    <row r="3897" spans="1:1">
      <c r="A3897" s="99"/>
    </row>
    <row r="3898" spans="1:1">
      <c r="A3898" s="99"/>
    </row>
    <row r="3899" spans="1:1">
      <c r="A3899" s="99"/>
    </row>
    <row r="3900" spans="1:1">
      <c r="A3900" s="99"/>
    </row>
    <row r="3902" spans="1:1">
      <c r="A3902" s="99"/>
    </row>
    <row r="3903" spans="1:1">
      <c r="A3903" s="99"/>
    </row>
    <row r="3904" spans="1:1">
      <c r="A3904" s="99"/>
    </row>
    <row r="3905" spans="1:1">
      <c r="A3905" s="99"/>
    </row>
    <row r="3906" spans="1:1">
      <c r="A3906" s="99"/>
    </row>
    <row r="3907" spans="1:1">
      <c r="A3907" s="99"/>
    </row>
    <row r="3908" spans="1:1">
      <c r="A3908" s="99"/>
    </row>
    <row r="3910" spans="1:1">
      <c r="A3910" s="99"/>
    </row>
    <row r="3911" spans="1:1">
      <c r="A3911" s="99"/>
    </row>
    <row r="3912" spans="1:1">
      <c r="A3912" s="99"/>
    </row>
    <row r="3913" spans="1:1">
      <c r="A3913" s="99"/>
    </row>
    <row r="3914" spans="1:1">
      <c r="A3914" s="99"/>
    </row>
    <row r="3915" spans="1:1">
      <c r="A3915" s="99"/>
    </row>
    <row r="3916" spans="1:1">
      <c r="A3916" s="99"/>
    </row>
    <row r="3918" spans="1:1">
      <c r="A3918" s="99"/>
    </row>
    <row r="3919" spans="1:1">
      <c r="A3919" s="99"/>
    </row>
    <row r="3920" spans="1:1">
      <c r="A3920" s="99"/>
    </row>
    <row r="3921" spans="1:1">
      <c r="A3921" s="99"/>
    </row>
    <row r="3922" spans="1:1">
      <c r="A3922" s="99"/>
    </row>
    <row r="3923" spans="1:1">
      <c r="A3923" s="99"/>
    </row>
    <row r="3924" spans="1:1">
      <c r="A3924" s="99"/>
    </row>
    <row r="3926" spans="1:1">
      <c r="A3926" s="99"/>
    </row>
    <row r="3927" spans="1:1">
      <c r="A3927" s="99"/>
    </row>
    <row r="3928" spans="1:1">
      <c r="A3928" s="99"/>
    </row>
    <row r="3929" spans="1:1">
      <c r="A3929" s="99"/>
    </row>
    <row r="3930" spans="1:1">
      <c r="A3930" s="99"/>
    </row>
    <row r="3931" spans="1:1">
      <c r="A3931" s="99"/>
    </row>
    <row r="3932" spans="1:1">
      <c r="A3932" s="99"/>
    </row>
    <row r="3934" spans="1:1">
      <c r="A3934" s="99"/>
    </row>
    <row r="3935" spans="1:1">
      <c r="A3935" s="99"/>
    </row>
    <row r="3936" spans="1:1">
      <c r="A3936" s="99"/>
    </row>
    <row r="3937" spans="1:1">
      <c r="A3937" s="99"/>
    </row>
    <row r="3938" spans="1:1">
      <c r="A3938" s="99"/>
    </row>
    <row r="3939" spans="1:1">
      <c r="A3939" s="99"/>
    </row>
    <row r="3940" spans="1:1">
      <c r="A3940" s="99"/>
    </row>
    <row r="3942" spans="1:1">
      <c r="A3942" s="99"/>
    </row>
    <row r="3943" spans="1:1">
      <c r="A3943" s="99"/>
    </row>
    <row r="3945" spans="1:1">
      <c r="A3945" s="99"/>
    </row>
    <row r="3946" spans="1:1">
      <c r="A3946" s="99"/>
    </row>
    <row r="3947" spans="1:1">
      <c r="A3947" s="99"/>
    </row>
    <row r="3948" spans="1:1">
      <c r="A3948" s="99"/>
    </row>
    <row r="3949" spans="1:1">
      <c r="A3949" s="99"/>
    </row>
    <row r="3951" spans="1:1">
      <c r="A3951" s="99"/>
    </row>
    <row r="3952" spans="1:1">
      <c r="A3952" s="99"/>
    </row>
    <row r="3953" spans="1:1">
      <c r="A3953" s="99"/>
    </row>
    <row r="3954" spans="1:1">
      <c r="A3954" s="99"/>
    </row>
    <row r="3955" spans="1:1">
      <c r="A3955" s="99"/>
    </row>
    <row r="3956" spans="1:1">
      <c r="A3956" s="99"/>
    </row>
    <row r="3957" spans="1:1">
      <c r="A3957" s="99"/>
    </row>
    <row r="3959" spans="1:1">
      <c r="A3959" s="99"/>
    </row>
    <row r="3960" spans="1:1">
      <c r="A3960" s="99"/>
    </row>
    <row r="3961" spans="1:1">
      <c r="A3961" s="99"/>
    </row>
    <row r="3962" spans="1:1">
      <c r="A3962" s="99"/>
    </row>
    <row r="3963" spans="1:1">
      <c r="A3963" s="99"/>
    </row>
    <row r="3964" spans="1:1">
      <c r="A3964" s="99"/>
    </row>
    <row r="3965" spans="1:1">
      <c r="A3965" s="99"/>
    </row>
    <row r="3967" spans="1:1">
      <c r="A3967" s="99"/>
    </row>
    <row r="3968" spans="1:1">
      <c r="A3968" s="99"/>
    </row>
    <row r="3969" spans="1:1">
      <c r="A3969" s="99"/>
    </row>
    <row r="3970" spans="1:1">
      <c r="A3970" s="99"/>
    </row>
    <row r="3971" spans="1:1">
      <c r="A3971" s="99"/>
    </row>
    <row r="3972" spans="1:1">
      <c r="A3972" s="99"/>
    </row>
    <row r="3973" spans="1:1">
      <c r="A3973" s="99"/>
    </row>
    <row r="3975" spans="1:1">
      <c r="A3975" s="99"/>
    </row>
    <row r="3976" spans="1:1">
      <c r="A3976" s="99"/>
    </row>
    <row r="3977" spans="1:1">
      <c r="A3977" s="99"/>
    </row>
    <row r="3978" spans="1:1">
      <c r="A3978" s="99"/>
    </row>
    <row r="3979" spans="1:1">
      <c r="A3979" s="99"/>
    </row>
    <row r="3980" spans="1:1">
      <c r="A3980" s="99"/>
    </row>
    <row r="3981" spans="1:1">
      <c r="A3981" s="99"/>
    </row>
    <row r="3983" spans="1:1">
      <c r="A3983" s="99"/>
    </row>
    <row r="3984" spans="1:1">
      <c r="A3984" s="99"/>
    </row>
    <row r="3985" spans="1:1">
      <c r="A3985" s="99"/>
    </row>
    <row r="3986" spans="1:1">
      <c r="A3986" s="99"/>
    </row>
    <row r="3987" spans="1:1">
      <c r="A3987" s="99"/>
    </row>
    <row r="3988" spans="1:1">
      <c r="A3988" s="99"/>
    </row>
    <row r="3989" spans="1:1">
      <c r="A3989" s="99"/>
    </row>
    <row r="3991" spans="1:1">
      <c r="A3991" s="99"/>
    </row>
    <row r="3992" spans="1:1">
      <c r="A3992" s="99"/>
    </row>
    <row r="3993" spans="1:1">
      <c r="A3993" s="99"/>
    </row>
    <row r="3994" spans="1:1">
      <c r="A3994" s="99"/>
    </row>
    <row r="3995" spans="1:1">
      <c r="A3995" s="99"/>
    </row>
    <row r="3996" spans="1:1">
      <c r="A3996" s="99"/>
    </row>
    <row r="3997" spans="1:1">
      <c r="A3997" s="99"/>
    </row>
    <row r="3999" spans="1:1">
      <c r="A3999" s="99"/>
    </row>
    <row r="4000" spans="1:1">
      <c r="A4000" s="99"/>
    </row>
    <row r="4001" spans="1:1">
      <c r="A4001" s="99"/>
    </row>
    <row r="4002" spans="1:1">
      <c r="A4002" s="99"/>
    </row>
    <row r="4003" spans="1:1">
      <c r="A4003" s="99"/>
    </row>
    <row r="4005" spans="1:1">
      <c r="A4005" s="99"/>
    </row>
    <row r="4006" spans="1:1">
      <c r="A4006" s="99"/>
    </row>
    <row r="4008" spans="1:1">
      <c r="A4008" s="99"/>
    </row>
    <row r="4009" spans="1:1">
      <c r="A4009" s="99"/>
    </row>
    <row r="4010" spans="1:1">
      <c r="A4010" s="99"/>
    </row>
    <row r="4011" spans="1:1">
      <c r="A4011" s="99"/>
    </row>
    <row r="4013" spans="1:1">
      <c r="A4013" s="99"/>
    </row>
    <row r="4014" spans="1:1">
      <c r="A4014" s="99"/>
    </row>
    <row r="4015" spans="1:1">
      <c r="A4015" s="99"/>
    </row>
    <row r="4016" spans="1:1">
      <c r="A4016" s="99"/>
    </row>
    <row r="4018" spans="1:1">
      <c r="A4018" s="99"/>
    </row>
    <row r="4019" spans="1:1">
      <c r="A4019" s="99"/>
    </row>
    <row r="4020" spans="1:1">
      <c r="A4020" s="99"/>
    </row>
    <row r="4021" spans="1:1">
      <c r="A4021" s="99"/>
    </row>
    <row r="4023" spans="1:1">
      <c r="A4023" s="99"/>
    </row>
    <row r="4024" spans="1:1">
      <c r="A4024" s="99"/>
    </row>
    <row r="4025" spans="1:1">
      <c r="A4025" s="99"/>
    </row>
    <row r="4026" spans="1:1">
      <c r="A4026" s="99"/>
    </row>
    <row r="4028" spans="1:1">
      <c r="A4028" s="99"/>
    </row>
    <row r="4029" spans="1:1">
      <c r="A4029" s="99"/>
    </row>
    <row r="4030" spans="1:1">
      <c r="A4030" s="99"/>
    </row>
    <row r="4031" spans="1:1">
      <c r="A4031" s="99"/>
    </row>
    <row r="4033" spans="1:1">
      <c r="A4033" s="99"/>
    </row>
    <row r="4034" spans="1:1">
      <c r="A4034" s="99"/>
    </row>
    <row r="4035" spans="1:1">
      <c r="A4035" s="99"/>
    </row>
    <row r="4036" spans="1:1">
      <c r="A4036" s="99"/>
    </row>
    <row r="4038" spans="1:1">
      <c r="A4038" s="99"/>
    </row>
    <row r="4039" spans="1:1">
      <c r="A4039" s="99"/>
    </row>
    <row r="4040" spans="1:1">
      <c r="A4040" s="99"/>
    </row>
    <row r="4041" spans="1:1">
      <c r="A4041" s="99"/>
    </row>
    <row r="4043" spans="1:1">
      <c r="A4043" s="99"/>
    </row>
    <row r="4044" spans="1:1">
      <c r="A4044" s="99"/>
    </row>
    <row r="4046" spans="1:1">
      <c r="A4046" s="99"/>
    </row>
    <row r="4047" spans="1:1">
      <c r="A4047" s="99"/>
    </row>
    <row r="4049" spans="1:1">
      <c r="A4049" s="99"/>
    </row>
    <row r="4050" spans="1:1">
      <c r="A4050" s="99"/>
    </row>
    <row r="4051" spans="1:1">
      <c r="A4051" s="99"/>
    </row>
    <row r="4052" spans="1:1">
      <c r="A4052" s="99"/>
    </row>
    <row r="4054" spans="1:1">
      <c r="A4054" s="99"/>
    </row>
    <row r="4055" spans="1:1">
      <c r="A4055" s="99"/>
    </row>
    <row r="4056" spans="1:1">
      <c r="A4056" s="99"/>
    </row>
    <row r="4057" spans="1:1">
      <c r="A4057" s="99"/>
    </row>
    <row r="4059" spans="1:1">
      <c r="A4059" s="99"/>
    </row>
    <row r="4060" spans="1:1">
      <c r="A4060" s="99"/>
    </row>
    <row r="4061" spans="1:1">
      <c r="A4061" s="99"/>
    </row>
    <row r="4062" spans="1:1">
      <c r="A4062" s="99"/>
    </row>
    <row r="4064" spans="1:1">
      <c r="A4064" s="99"/>
    </row>
    <row r="4065" spans="1:1">
      <c r="A4065" s="99"/>
    </row>
    <row r="4066" spans="1:1">
      <c r="A4066" s="99"/>
    </row>
    <row r="4067" spans="1:1">
      <c r="A4067" s="99"/>
    </row>
    <row r="4069" spans="1:1">
      <c r="A4069" s="99"/>
    </row>
    <row r="4070" spans="1:1">
      <c r="A4070" s="99"/>
    </row>
    <row r="4071" spans="1:1">
      <c r="A4071" s="99"/>
    </row>
    <row r="4072" spans="1:1">
      <c r="A4072" s="99"/>
    </row>
    <row r="4074" spans="1:1">
      <c r="A4074" s="99"/>
    </row>
    <row r="4075" spans="1:1">
      <c r="A4075" s="99"/>
    </row>
    <row r="4076" spans="1:1">
      <c r="A4076" s="99"/>
    </row>
    <row r="4077" spans="1:1">
      <c r="A4077" s="99"/>
    </row>
    <row r="4079" spans="1:1">
      <c r="A4079" s="99"/>
    </row>
    <row r="4080" spans="1:1">
      <c r="A4080" s="99"/>
    </row>
    <row r="4081" spans="1:1">
      <c r="A4081" s="99"/>
    </row>
    <row r="4082" spans="1:1">
      <c r="A4082" s="99"/>
    </row>
    <row r="4084" spans="1:1">
      <c r="A4084" s="99"/>
    </row>
    <row r="4085" spans="1:1">
      <c r="A4085" s="99"/>
    </row>
    <row r="4087" spans="1:1">
      <c r="A4087" s="99"/>
    </row>
    <row r="4088" spans="1:1">
      <c r="A4088" s="99"/>
    </row>
    <row r="4089" spans="1:1">
      <c r="A4089" s="99"/>
    </row>
    <row r="4090" spans="1:1">
      <c r="A4090" s="99"/>
    </row>
    <row r="4091" spans="1:1">
      <c r="A4091" s="99"/>
    </row>
    <row r="4092" spans="1:1">
      <c r="A4092" s="99"/>
    </row>
    <row r="4093" spans="1:1">
      <c r="A4093" s="99"/>
    </row>
    <row r="4095" spans="1:1">
      <c r="A4095" s="99"/>
    </row>
    <row r="4096" spans="1:1">
      <c r="A4096" s="99"/>
    </row>
    <row r="4097" spans="1:1">
      <c r="A4097" s="99"/>
    </row>
    <row r="4098" spans="1:1">
      <c r="A4098" s="99"/>
    </row>
    <row r="4099" spans="1:1">
      <c r="A4099" s="99"/>
    </row>
    <row r="4100" spans="1:1">
      <c r="A4100" s="99"/>
    </row>
    <row r="4101" spans="1:1">
      <c r="A4101" s="99"/>
    </row>
    <row r="4102" spans="1:1">
      <c r="A4102" s="99"/>
    </row>
    <row r="4103" spans="1:1">
      <c r="A4103" s="99"/>
    </row>
    <row r="4104" spans="1:1">
      <c r="A4104" s="99"/>
    </row>
    <row r="4105" spans="1:1">
      <c r="A4105" s="99"/>
    </row>
    <row r="4106" spans="1:1">
      <c r="A4106" s="99"/>
    </row>
    <row r="4108" spans="1:1">
      <c r="A4108" s="99"/>
    </row>
    <row r="4110" spans="1:1">
      <c r="A4110" s="99"/>
    </row>
    <row r="4111" spans="1:1">
      <c r="A4111" s="99"/>
    </row>
    <row r="4112" spans="1:1">
      <c r="A4112" s="99"/>
    </row>
    <row r="4113" spans="1:1">
      <c r="A4113" s="99"/>
    </row>
    <row r="4114" spans="1:1">
      <c r="A4114" s="99"/>
    </row>
    <row r="4115" spans="1:1">
      <c r="A4115" s="99"/>
    </row>
    <row r="4116" spans="1:1">
      <c r="A4116" s="99"/>
    </row>
    <row r="4117" spans="1:1">
      <c r="A4117" s="99"/>
    </row>
    <row r="4118" spans="1:1">
      <c r="A4118" s="99"/>
    </row>
    <row r="4119" spans="1:1">
      <c r="A4119" s="99"/>
    </row>
    <row r="4120" spans="1:1">
      <c r="A4120" s="99"/>
    </row>
    <row r="4121" spans="1:1">
      <c r="A4121" s="99"/>
    </row>
    <row r="4122" spans="1:1">
      <c r="A4122" s="99"/>
    </row>
    <row r="4123" spans="1:1">
      <c r="A4123" s="99"/>
    </row>
    <row r="4124" spans="1:1">
      <c r="A4124" s="99"/>
    </row>
    <row r="4125" spans="1:1">
      <c r="A4125" s="99"/>
    </row>
    <row r="4126" spans="1:1">
      <c r="A4126" s="99"/>
    </row>
    <row r="4127" spans="1:1">
      <c r="A4127" s="99"/>
    </row>
    <row r="4128" spans="1:1">
      <c r="A4128" s="99"/>
    </row>
    <row r="4129" spans="1:1">
      <c r="A4129" s="99"/>
    </row>
    <row r="4130" spans="1:1">
      <c r="A4130" s="99"/>
    </row>
    <row r="4131" spans="1:1">
      <c r="A4131" s="99"/>
    </row>
    <row r="4132" spans="1:1">
      <c r="A4132" s="99"/>
    </row>
    <row r="4133" spans="1:1">
      <c r="A4133" s="99"/>
    </row>
    <row r="4134" spans="1:1">
      <c r="A4134" s="99"/>
    </row>
    <row r="4135" spans="1:1">
      <c r="A4135" s="99"/>
    </row>
    <row r="4136" spans="1:1">
      <c r="A4136" s="99"/>
    </row>
    <row r="4137" spans="1:1">
      <c r="A4137" s="99"/>
    </row>
    <row r="4139" spans="1:1">
      <c r="A4139" s="99"/>
    </row>
    <row r="4140" spans="1:1">
      <c r="A4140" s="99"/>
    </row>
    <row r="4141" spans="1:1">
      <c r="A4141" s="99"/>
    </row>
    <row r="4143" spans="1:1">
      <c r="A4143" s="99"/>
    </row>
    <row r="4144" spans="1:1">
      <c r="A4144" s="99"/>
    </row>
    <row r="4145" spans="1:1">
      <c r="A4145" s="99"/>
    </row>
    <row r="4146" spans="1:1">
      <c r="A4146" s="99"/>
    </row>
    <row r="4147" spans="1:1">
      <c r="A4147" s="99"/>
    </row>
    <row r="4148" spans="1:1">
      <c r="A4148" s="99"/>
    </row>
    <row r="4149" spans="1:1">
      <c r="A4149" s="99"/>
    </row>
    <row r="4150" spans="1:1">
      <c r="A4150" s="99"/>
    </row>
    <row r="4151" spans="1:1">
      <c r="A4151" s="99"/>
    </row>
    <row r="4152" spans="1:1">
      <c r="A4152" s="99"/>
    </row>
    <row r="4154" spans="1:1">
      <c r="A4154" s="99"/>
    </row>
    <row r="4155" spans="1:1">
      <c r="A4155" s="99"/>
    </row>
    <row r="4156" spans="1:1">
      <c r="A4156" s="99"/>
    </row>
    <row r="4157" spans="1:1">
      <c r="A4157" s="99"/>
    </row>
    <row r="4158" spans="1:1">
      <c r="A4158" s="99"/>
    </row>
    <row r="4159" spans="1:1">
      <c r="A4159" s="99"/>
    </row>
    <row r="4160" spans="1:1">
      <c r="A4160" s="99"/>
    </row>
    <row r="4161" spans="1:1">
      <c r="A4161" s="99"/>
    </row>
    <row r="4162" spans="1:1">
      <c r="A4162" s="99"/>
    </row>
    <row r="4164" spans="1:1">
      <c r="A4164" s="99"/>
    </row>
    <row r="4165" spans="1:1">
      <c r="A4165" s="99"/>
    </row>
    <row r="4166" spans="1:1">
      <c r="A4166" s="99"/>
    </row>
    <row r="4168" spans="1:1">
      <c r="A4168" s="99"/>
    </row>
    <row r="4170" spans="1:1">
      <c r="A4170" s="99"/>
    </row>
    <row r="4171" spans="1:1">
      <c r="A4171" s="99"/>
    </row>
    <row r="4172" spans="1:1">
      <c r="A4172" s="99"/>
    </row>
    <row r="4173" spans="1:1">
      <c r="A4173" s="99"/>
    </row>
    <row r="4174" spans="1:1">
      <c r="A4174" s="99"/>
    </row>
    <row r="4175" spans="1:1">
      <c r="A4175" s="99"/>
    </row>
    <row r="4176" spans="1:1">
      <c r="A4176" s="99"/>
    </row>
    <row r="4177" spans="1:1">
      <c r="A4177" s="99"/>
    </row>
    <row r="4178" spans="1:1">
      <c r="A4178" s="99"/>
    </row>
    <row r="4179" spans="1:1">
      <c r="A4179" s="99"/>
    </row>
    <row r="4180" spans="1:1">
      <c r="A4180" s="99"/>
    </row>
    <row r="4181" spans="1:1">
      <c r="A4181" s="99"/>
    </row>
    <row r="4182" spans="1:1">
      <c r="A4182" s="99"/>
    </row>
    <row r="4183" spans="1:1">
      <c r="A4183" s="99"/>
    </row>
    <row r="4184" spans="1:1">
      <c r="A4184" s="99"/>
    </row>
    <row r="4185" spans="1:1">
      <c r="A4185" s="99"/>
    </row>
    <row r="4186" spans="1:1">
      <c r="A4186" s="99"/>
    </row>
    <row r="4187" spans="1:1">
      <c r="A4187" s="99"/>
    </row>
    <row r="4189" spans="1:1">
      <c r="A4189" s="99"/>
    </row>
    <row r="4190" spans="1:1">
      <c r="A4190" s="99"/>
    </row>
    <row r="4191" spans="1:1">
      <c r="A4191" s="99"/>
    </row>
    <row r="4192" spans="1:1">
      <c r="A4192" s="99"/>
    </row>
    <row r="4193" spans="1:1">
      <c r="A4193" s="99"/>
    </row>
    <row r="4194" spans="1:1">
      <c r="A4194" s="99"/>
    </row>
    <row r="4195" spans="1:1">
      <c r="A4195" s="99"/>
    </row>
    <row r="4197" spans="1:1">
      <c r="A4197" s="99"/>
    </row>
    <row r="4198" spans="1:1">
      <c r="A4198" s="99"/>
    </row>
    <row r="4199" spans="1:1">
      <c r="A4199" s="99"/>
    </row>
    <row r="4200" spans="1:1">
      <c r="A4200" s="99"/>
    </row>
    <row r="4201" spans="1:1">
      <c r="A4201" s="99"/>
    </row>
    <row r="4202" spans="1:1">
      <c r="A4202" s="99"/>
    </row>
    <row r="4203" spans="1:1">
      <c r="A4203" s="99"/>
    </row>
    <row r="4204" spans="1:1">
      <c r="A4204" s="99"/>
    </row>
    <row r="4205" spans="1:1">
      <c r="A4205" s="99"/>
    </row>
    <row r="4206" spans="1:1">
      <c r="A4206" s="99"/>
    </row>
    <row r="4207" spans="1:1">
      <c r="A4207" s="99"/>
    </row>
    <row r="4208" spans="1:1">
      <c r="A4208" s="99"/>
    </row>
    <row r="4209" spans="1:1">
      <c r="A4209" s="99"/>
    </row>
    <row r="4210" spans="1:1">
      <c r="A4210" s="99"/>
    </row>
    <row r="4211" spans="1:1">
      <c r="A4211" s="99"/>
    </row>
    <row r="4212" spans="1:1">
      <c r="A4212" s="99"/>
    </row>
    <row r="4213" spans="1:1">
      <c r="A4213" s="99"/>
    </row>
    <row r="4214" spans="1:1">
      <c r="A4214" s="99"/>
    </row>
    <row r="4215" spans="1:1">
      <c r="A4215" s="99"/>
    </row>
    <row r="4216" spans="1:1">
      <c r="A4216" s="99"/>
    </row>
    <row r="4217" spans="1:1">
      <c r="A4217" s="99"/>
    </row>
    <row r="4218" spans="1:1">
      <c r="A4218" s="99"/>
    </row>
    <row r="4220" spans="1:1">
      <c r="A4220" s="99"/>
    </row>
    <row r="4221" spans="1:1">
      <c r="A4221" s="99"/>
    </row>
    <row r="4222" spans="1:1">
      <c r="A4222" s="99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"/>
  <sheetViews>
    <sheetView workbookViewId="0">
      <pane xSplit="2" ySplit="10" topLeftCell="C11" activePane="bottomRight" state="frozen"/>
      <selection activeCell="A4" sqref="A4"/>
      <selection pane="topRight" activeCell="A4" sqref="A4"/>
      <selection pane="bottomLeft" activeCell="A4" sqref="A4"/>
      <selection pane="bottomRight" activeCell="A6" sqref="A6:XFD6"/>
    </sheetView>
  </sheetViews>
  <sheetFormatPr defaultColWidth="9" defaultRowHeight="15"/>
  <cols>
    <col min="1" max="1" width="8.5703125" style="8" customWidth="1"/>
    <col min="2" max="2" width="11.7109375" style="8" customWidth="1"/>
    <col min="3" max="3" width="9.7109375" style="5" customWidth="1"/>
    <col min="4" max="4" width="8.5703125" style="9" customWidth="1"/>
    <col min="5" max="5" width="9.7109375" style="5" customWidth="1"/>
    <col min="6" max="6" width="8.5703125" style="9" customWidth="1"/>
    <col min="7" max="7" width="9" style="13"/>
    <col min="8" max="8" width="9.7109375" style="5" customWidth="1"/>
    <col min="9" max="9" width="18.85546875" style="9" customWidth="1"/>
    <col min="10" max="10" width="9.7109375" style="5" customWidth="1"/>
    <col min="11" max="11" width="15.5703125" style="9" customWidth="1"/>
    <col min="12" max="12" width="9.7109375" style="5" customWidth="1"/>
    <col min="13" max="13" width="8.5703125" style="9" customWidth="1"/>
    <col min="14" max="16384" width="9" style="13"/>
  </cols>
  <sheetData>
    <row r="1" spans="1:13" ht="14.25" customHeight="1" thickBot="1">
      <c r="A1" s="41"/>
      <c r="B1" s="41"/>
      <c r="C1" s="13" t="s">
        <v>1059</v>
      </c>
      <c r="D1" s="13"/>
      <c r="E1" s="13" t="s">
        <v>1060</v>
      </c>
      <c r="F1" s="13"/>
      <c r="H1" s="13" t="s">
        <v>1079</v>
      </c>
      <c r="I1" s="13"/>
      <c r="J1" s="13" t="s">
        <v>1080</v>
      </c>
      <c r="K1" s="13"/>
      <c r="L1" s="13" t="s">
        <v>1081</v>
      </c>
      <c r="M1" s="5"/>
    </row>
    <row r="2" spans="1:13" ht="15.75" hidden="1" customHeight="1">
      <c r="C2" s="13" t="s">
        <v>218</v>
      </c>
      <c r="D2" s="14"/>
      <c r="E2" s="13" t="s">
        <v>218</v>
      </c>
      <c r="F2" s="14"/>
      <c r="H2" s="13" t="s">
        <v>218</v>
      </c>
      <c r="I2" s="14"/>
      <c r="J2" s="13" t="s">
        <v>218</v>
      </c>
      <c r="K2" s="14"/>
      <c r="L2" s="5" t="s">
        <v>1082</v>
      </c>
    </row>
    <row r="3" spans="1:13" ht="15.75" hidden="1" customHeight="1" thickBot="1">
      <c r="C3" s="13" t="str">
        <f>C1&amp;"-"&amp;C2&amp;"_"&amp;C4</f>
        <v>Utah_M01-4sum_3280 x 2460 30.1fps 1788Mbps (2-bin)</v>
      </c>
      <c r="D3" s="14"/>
      <c r="E3" s="13" t="str">
        <f>E1&amp;"-"&amp;E2&amp;"_"&amp;E4</f>
        <v>Utah_M02-4sum_3280 x 1848 30.1fps 1788Mbps (2-bin)</v>
      </c>
      <c r="F3" s="14"/>
      <c r="H3" s="13" t="str">
        <f>H1&amp;"-"&amp;H2&amp;"_"&amp;H4</f>
        <v>Nevada_M01-4sum_3280 x 1848 30.1fps 1788Mbps (2-bin)</v>
      </c>
      <c r="I3" s="14"/>
      <c r="J3" s="13" t="str">
        <f>J1&amp;"-"&amp;J2&amp;"_"&amp;J4</f>
        <v>Nevada_M02-4sum_3280 x 2460 30.1fps 1788Mbps (2-bin)</v>
      </c>
      <c r="K3" s="14"/>
      <c r="L3" s="5" t="str">
        <f>L1&amp;"-"&amp;L2&amp;"_"&amp;L4</f>
        <v>Nevada_M03-4sum2bin_1280 x 720 120.2fps 1788Mbps (4-bin)</v>
      </c>
    </row>
    <row r="4" spans="1:13" ht="15" customHeight="1">
      <c r="A4" s="188" t="s">
        <v>27</v>
      </c>
      <c r="B4" s="189"/>
      <c r="C4" s="192" t="str">
        <f>C13&amp;" x "&amp;(C14)&amp;" "&amp;ROUND(C15,1)&amp;"fps"&amp;" "&amp;ROUND(C10, 0)&amp;IF(RIGHT(D67, 1)="1", "Msps", "Mbps")&amp;IF(VALUE(RIGHT(D51,1))&gt;1," ("&amp;RIGHT(D51,1)&amp;"-bin)","")</f>
        <v>3280 x 2460 30.1fps 1788Mbps (2-bin)</v>
      </c>
      <c r="D4" s="193"/>
      <c r="E4" s="192" t="str">
        <f>E13&amp;" x "&amp;(E14)&amp;" "&amp;ROUND(E15,1)&amp;"fps"&amp;" "&amp;ROUND(E10, 0)&amp;IF(RIGHT(F67, 1)="1", "Msps", "Mbps")&amp;IF(VALUE(RIGHT(F51,1))&gt;1," ("&amp;RIGHT(F51,1)&amp;"-bin)","")</f>
        <v>3280 x 1848 30.1fps 1788Mbps (2-bin)</v>
      </c>
      <c r="F4" s="193"/>
      <c r="H4" s="192" t="str">
        <f>H13&amp;" x "&amp;(H14)&amp;" "&amp;ROUND(H15,1)&amp;"fps"&amp;" "&amp;ROUND(H10, 0)&amp;IF(RIGHT(I67, 1)="1", "Msps", "Mbps")&amp;IF(VALUE(RIGHT(I51,1))&gt;1," ("&amp;RIGHT(I51,1)&amp;"-bin)","")</f>
        <v>3280 x 1848 30.1fps 1788Mbps (2-bin)</v>
      </c>
      <c r="I4" s="193"/>
      <c r="J4" s="192" t="str">
        <f>J13&amp;" x "&amp;(J14)&amp;" "&amp;ROUND(J15,1)&amp;"fps"&amp;" "&amp;ROUND(J10, 0)&amp;IF(RIGHT(K67, 1)="1", "Msps", "Mbps")&amp;IF(VALUE(RIGHT(K51,1))&gt;1," ("&amp;RIGHT(K51,1)&amp;"-bin)","")</f>
        <v>3280 x 2460 30.1fps 1788Mbps (2-bin)</v>
      </c>
      <c r="K4" s="193"/>
      <c r="L4" s="208" t="str">
        <f>L13&amp;" x "&amp;(L14)&amp;" "&amp;ROUND(L15,1)&amp;"fps"&amp;" "&amp;ROUND(L10, 0)&amp;IF(RIGHT(M67, 1)="1", "Msps", "Mbps")&amp;IF(VALUE(RIGHT(M51,1))&gt;1," ("&amp;RIGHT(M51,1)&amp;"-bin)","")</f>
        <v>1280 x 720 120.2fps 1788Mbps (4-bin)</v>
      </c>
      <c r="M4" s="209"/>
    </row>
    <row r="5" spans="1:13" s="33" customFormat="1" ht="30" customHeight="1">
      <c r="A5" s="190"/>
      <c r="B5" s="191"/>
      <c r="C5" s="194" t="s">
        <v>218</v>
      </c>
      <c r="D5" s="195"/>
      <c r="E5" s="194" t="s">
        <v>218</v>
      </c>
      <c r="F5" s="195"/>
      <c r="H5" s="194" t="s">
        <v>218</v>
      </c>
      <c r="I5" s="195"/>
      <c r="J5" s="194" t="s">
        <v>218</v>
      </c>
      <c r="K5" s="195"/>
      <c r="L5" s="210" t="s">
        <v>1082</v>
      </c>
      <c r="M5" s="211"/>
    </row>
    <row r="6" spans="1:13" ht="15.75" customHeight="1" thickBot="1">
      <c r="A6" s="198" t="s">
        <v>46</v>
      </c>
      <c r="B6" s="199"/>
      <c r="C6" s="196" t="str">
        <f>C209</f>
        <v>N/A</v>
      </c>
      <c r="D6" s="197"/>
      <c r="E6" s="196" t="str">
        <f>E209</f>
        <v>N/A</v>
      </c>
      <c r="F6" s="197"/>
      <c r="H6" s="196" t="str">
        <f>H209</f>
        <v>VC1 0x30) 408 x 1840</v>
      </c>
      <c r="I6" s="197"/>
      <c r="J6" s="196" t="str">
        <f>J209</f>
        <v>VC1 0x30) 408 x 2448</v>
      </c>
      <c r="K6" s="197"/>
      <c r="L6" s="196" t="str">
        <f>L209</f>
        <v>N/A</v>
      </c>
      <c r="M6" s="197"/>
    </row>
    <row r="7" spans="1:13">
      <c r="A7" s="202" t="s">
        <v>28</v>
      </c>
      <c r="B7" s="203"/>
      <c r="C7" s="25">
        <f>(HEX2DEC(D26)/256) + HEX2DEC(D27)/1000</f>
        <v>24</v>
      </c>
      <c r="D7" s="35" t="s">
        <v>29</v>
      </c>
      <c r="E7" s="25">
        <f>(HEX2DEC(F26)/256) + HEX2DEC(F27)/1000</f>
        <v>24</v>
      </c>
      <c r="F7" s="35" t="s">
        <v>29</v>
      </c>
      <c r="H7" s="25">
        <f>(HEX2DEC(I26)/256) + HEX2DEC(I27)/1000</f>
        <v>24</v>
      </c>
      <c r="I7" s="35" t="s">
        <v>29</v>
      </c>
      <c r="J7" s="25">
        <f>(HEX2DEC(K26)/256) + HEX2DEC(K27)/1000</f>
        <v>24</v>
      </c>
      <c r="K7" s="35" t="s">
        <v>29</v>
      </c>
      <c r="L7" s="25">
        <f>(HEX2DEC(M26)/256) + HEX2DEC(M27)/1000</f>
        <v>24</v>
      </c>
      <c r="M7" s="35" t="s">
        <v>29</v>
      </c>
    </row>
    <row r="8" spans="1:13">
      <c r="A8" s="186" t="s">
        <v>30</v>
      </c>
      <c r="B8" s="187"/>
      <c r="C8" s="15" t="str">
        <f>FIXED(C7/HEX2DEC(D28)*(HEX2DEC(D29))/(2^(HEX2DEC(D30)))/HEX2DEC(D31)/HEX2DEC(D32)*4, 1, TRUE)</f>
        <v>560.0</v>
      </c>
      <c r="D8" s="36" t="s">
        <v>29</v>
      </c>
      <c r="E8" s="15" t="str">
        <f>FIXED(E7/HEX2DEC(F28)*(HEX2DEC(F29))/(2^(HEX2DEC(F30)))/HEX2DEC(F31)/HEX2DEC(F32)*4, 1, TRUE)</f>
        <v>560.0</v>
      </c>
      <c r="F8" s="36" t="s">
        <v>29</v>
      </c>
      <c r="H8" s="15" t="str">
        <f>FIXED(H7/HEX2DEC(I28)*(HEX2DEC(I29))/(2^(HEX2DEC(I30)))/HEX2DEC(I31)/HEX2DEC(I32)*4, 1, TRUE)</f>
        <v>560.0</v>
      </c>
      <c r="I8" s="36" t="s">
        <v>29</v>
      </c>
      <c r="J8" s="15" t="str">
        <f>FIXED(J7/HEX2DEC(K28)*(HEX2DEC(K29))/(2^(HEX2DEC(K30)))/HEX2DEC(K31)/HEX2DEC(K32)*4, 1, TRUE)</f>
        <v>560.0</v>
      </c>
      <c r="K8" s="36" t="s">
        <v>29</v>
      </c>
      <c r="L8" s="140" t="str">
        <f>FIXED(L7/HEX2DEC(M28)*(HEX2DEC(M29))/(2^(HEX2DEC(M30)))/HEX2DEC(M31)/HEX2DEC(M32)*4, 1, TRUE)</f>
        <v>560.0</v>
      </c>
      <c r="M8" s="36" t="s">
        <v>29</v>
      </c>
    </row>
    <row r="9" spans="1:13">
      <c r="A9" s="18"/>
      <c r="B9" s="102" t="s">
        <v>31</v>
      </c>
      <c r="C9" s="85">
        <f xml:space="preserve"> C7/HEX2DEC(D33)*HEX2DEC(D34) / ROUNDDOWN( C7/HEX2DEC(D33)*HEX2DEC(D34) / (HEX2DEC(RIGHT(D41, 2)&amp;LEFT(D41, 2))) / 2, 0) / 2</f>
        <v>223.5</v>
      </c>
      <c r="D9" s="36" t="s">
        <v>29</v>
      </c>
      <c r="E9" s="85">
        <f xml:space="preserve"> E7/HEX2DEC(F33)*HEX2DEC(F34) / ROUNDDOWN( E7/HEX2DEC(F33)*HEX2DEC(F34) / (HEX2DEC(RIGHT(F41, 2)&amp;LEFT(F41, 2))) / 2, 0) / 2</f>
        <v>223.5</v>
      </c>
      <c r="F9" s="36" t="s">
        <v>29</v>
      </c>
      <c r="H9" s="85">
        <f xml:space="preserve"> H7/HEX2DEC(I33)*HEX2DEC(I34) / ROUNDDOWN( H7/HEX2DEC(I33)*HEX2DEC(I34) / (HEX2DEC(RIGHT(I41, 2)&amp;LEFT(I41, 2))) / 2, 0) / 2</f>
        <v>223.5</v>
      </c>
      <c r="I9" s="36" t="s">
        <v>29</v>
      </c>
      <c r="J9" s="85">
        <f xml:space="preserve"> J7/HEX2DEC(K33)*HEX2DEC(K34) / ROUNDDOWN( J7/HEX2DEC(K33)*HEX2DEC(K34) / (HEX2DEC(RIGHT(K41, 2)&amp;LEFT(K41, 2))) / 2, 0) / 2</f>
        <v>223.5</v>
      </c>
      <c r="K9" s="36" t="s">
        <v>29</v>
      </c>
      <c r="L9" s="141">
        <f xml:space="preserve"> L7/HEX2DEC(M33)*HEX2DEC(M34) / ROUNDDOWN( L7/HEX2DEC(M33)*HEX2DEC(M34) / (HEX2DEC(RIGHT(M41, 2)&amp;LEFT(M41, 2))) / 2, 0) / 2</f>
        <v>223.5</v>
      </c>
      <c r="M9" s="36" t="s">
        <v>29</v>
      </c>
    </row>
    <row r="10" spans="1:13" s="34" customFormat="1">
      <c r="A10" s="204" t="s">
        <v>10</v>
      </c>
      <c r="B10" s="205"/>
      <c r="C10" s="26">
        <f>C7/HEX2DEC(D33)*HEX2DEC(D34)/(2^(HEX2DEC(D36))) * 2</f>
        <v>1788</v>
      </c>
      <c r="D10" s="37" t="str">
        <f t="shared" ref="D10" si="0">IF(LEFT(C17, 1)="C", "Msps/lane", "Mbps/lane")</f>
        <v>Mbps/lane</v>
      </c>
      <c r="E10" s="26">
        <f>E7/HEX2DEC(F33)*HEX2DEC(F34)/(2^(HEX2DEC(F36))) * 2</f>
        <v>1788</v>
      </c>
      <c r="F10" s="37" t="str">
        <f t="shared" ref="F10" si="1">IF(LEFT(E17, 1)="C", "Msps/lane", "Mbps/lane")</f>
        <v>Mbps/lane</v>
      </c>
      <c r="H10" s="26">
        <f>H7/HEX2DEC(I33)*HEX2DEC(I34)/(2^(HEX2DEC(I36))) * 2</f>
        <v>1788</v>
      </c>
      <c r="I10" s="37" t="str">
        <f t="shared" ref="I10" si="2">IF(LEFT(H17, 1)="C", "Msps/lane", "Mbps/lane")</f>
        <v>Mbps/lane</v>
      </c>
      <c r="J10" s="26">
        <f>J7/HEX2DEC(K33)*HEX2DEC(K34)/(2^(HEX2DEC(K36))) * 2</f>
        <v>1788</v>
      </c>
      <c r="K10" s="37" t="str">
        <f t="shared" ref="K10" si="3">IF(LEFT(J17, 1)="C", "Msps/lane", "Mbps/lane")</f>
        <v>Mbps/lane</v>
      </c>
      <c r="L10" s="26">
        <f>L7/HEX2DEC(M33)*HEX2DEC(M34)/(2^(HEX2DEC(M36))) * 2</f>
        <v>1788</v>
      </c>
      <c r="M10" s="37" t="str">
        <f t="shared" ref="M10" si="4">IF(LEFT(L17, 1)="C", "Msps/lane", "Mbps/lane")</f>
        <v>Mbps/lane</v>
      </c>
    </row>
    <row r="11" spans="1:13">
      <c r="A11" s="186" t="s">
        <v>32</v>
      </c>
      <c r="B11" s="187"/>
      <c r="C11" s="15">
        <f>HEX2DEC(D44)-HEX2DEC(D43)+1</f>
        <v>6576</v>
      </c>
      <c r="D11" s="38" t="s">
        <v>11</v>
      </c>
      <c r="E11" s="15">
        <f>HEX2DEC(F44)-HEX2DEC(F43)+1</f>
        <v>6576</v>
      </c>
      <c r="F11" s="38" t="s">
        <v>11</v>
      </c>
      <c r="H11" s="15">
        <f>HEX2DEC(I44)-HEX2DEC(I43)+1</f>
        <v>6576</v>
      </c>
      <c r="I11" s="38" t="s">
        <v>11</v>
      </c>
      <c r="J11" s="15">
        <f>HEX2DEC(K44)-HEX2DEC(K43)+1</f>
        <v>6576</v>
      </c>
      <c r="K11" s="38" t="s">
        <v>11</v>
      </c>
      <c r="L11" s="140">
        <f>HEX2DEC(M44)-HEX2DEC(M43)+1</f>
        <v>5136</v>
      </c>
      <c r="M11" s="38" t="s">
        <v>11</v>
      </c>
    </row>
    <row r="12" spans="1:13">
      <c r="A12" s="186" t="s">
        <v>33</v>
      </c>
      <c r="B12" s="187"/>
      <c r="C12" s="15">
        <f>HEX2DEC(D46)-HEX2DEC(D45)+1</f>
        <v>4944</v>
      </c>
      <c r="D12" s="38" t="s">
        <v>11</v>
      </c>
      <c r="E12" s="15">
        <f>HEX2DEC(F46)-HEX2DEC(F45)+1</f>
        <v>3712</v>
      </c>
      <c r="F12" s="38" t="s">
        <v>11</v>
      </c>
      <c r="H12" s="15">
        <f>HEX2DEC(I46)-HEX2DEC(I45)+1</f>
        <v>3712</v>
      </c>
      <c r="I12" s="38" t="s">
        <v>11</v>
      </c>
      <c r="J12" s="15">
        <f>HEX2DEC(K46)-HEX2DEC(K45)+1</f>
        <v>4944</v>
      </c>
      <c r="K12" s="38" t="s">
        <v>11</v>
      </c>
      <c r="L12" s="140">
        <f>HEX2DEC(M46)-HEX2DEC(M45)+1</f>
        <v>2912</v>
      </c>
      <c r="M12" s="38" t="s">
        <v>11</v>
      </c>
    </row>
    <row r="13" spans="1:13">
      <c r="A13" s="186" t="s">
        <v>34</v>
      </c>
      <c r="B13" s="187"/>
      <c r="C13" s="15">
        <f>HEX2DEC(D49)</f>
        <v>3280</v>
      </c>
      <c r="D13" s="38" t="s">
        <v>11</v>
      </c>
      <c r="E13" s="15">
        <f>HEX2DEC(F49)</f>
        <v>3280</v>
      </c>
      <c r="F13" s="38" t="s">
        <v>11</v>
      </c>
      <c r="H13" s="15">
        <f>HEX2DEC(I49)</f>
        <v>3280</v>
      </c>
      <c r="I13" s="38" t="s">
        <v>11</v>
      </c>
      <c r="J13" s="15">
        <f>HEX2DEC(K49)</f>
        <v>3280</v>
      </c>
      <c r="K13" s="38" t="s">
        <v>11</v>
      </c>
      <c r="L13" s="140">
        <f>HEX2DEC(M49)</f>
        <v>1280</v>
      </c>
      <c r="M13" s="38" t="s">
        <v>11</v>
      </c>
    </row>
    <row r="14" spans="1:13">
      <c r="A14" s="186" t="s">
        <v>35</v>
      </c>
      <c r="B14" s="187"/>
      <c r="C14" s="15">
        <f>HEX2DEC(D50)</f>
        <v>2460</v>
      </c>
      <c r="D14" s="38" t="s">
        <v>11</v>
      </c>
      <c r="E14" s="15">
        <f>HEX2DEC(F50)</f>
        <v>1848</v>
      </c>
      <c r="F14" s="38" t="s">
        <v>11</v>
      </c>
      <c r="H14" s="15">
        <f>HEX2DEC(I50)</f>
        <v>1848</v>
      </c>
      <c r="I14" s="38" t="s">
        <v>11</v>
      </c>
      <c r="J14" s="15">
        <f>HEX2DEC(K50)</f>
        <v>2460</v>
      </c>
      <c r="K14" s="38" t="s">
        <v>11</v>
      </c>
      <c r="L14" s="140">
        <f>HEX2DEC(M50)</f>
        <v>720</v>
      </c>
      <c r="M14" s="38" t="s">
        <v>11</v>
      </c>
    </row>
    <row r="15" spans="1:13">
      <c r="A15" s="186" t="s">
        <v>36</v>
      </c>
      <c r="B15" s="187"/>
      <c r="C15" s="23">
        <f>ROUND(C8/C18/C20*1000000,2)</f>
        <v>30.06</v>
      </c>
      <c r="D15" s="38" t="s">
        <v>37</v>
      </c>
      <c r="E15" s="23">
        <f>ROUND(E8/E18/E20*1000000,2)</f>
        <v>30.06</v>
      </c>
      <c r="F15" s="38" t="s">
        <v>37</v>
      </c>
      <c r="H15" s="23">
        <f>ROUND(H8/H18/H20*1000000,2)</f>
        <v>30.06</v>
      </c>
      <c r="I15" s="38" t="s">
        <v>37</v>
      </c>
      <c r="J15" s="23">
        <f>ROUND(J8/J18/J20*1000000,2)</f>
        <v>30.06</v>
      </c>
      <c r="K15" s="38" t="s">
        <v>37</v>
      </c>
      <c r="L15" s="140">
        <f>ROUND(L8/L18/L20*1000000,2)</f>
        <v>120.17</v>
      </c>
      <c r="M15" s="38" t="s">
        <v>37</v>
      </c>
    </row>
    <row r="16" spans="1:13">
      <c r="A16" s="200" t="s">
        <v>38</v>
      </c>
      <c r="B16" s="201"/>
      <c r="C16" s="15" t="s">
        <v>39</v>
      </c>
      <c r="D16" s="38"/>
      <c r="E16" s="15" t="s">
        <v>39</v>
      </c>
      <c r="F16" s="38"/>
      <c r="H16" s="15" t="s">
        <v>39</v>
      </c>
      <c r="I16" s="38"/>
      <c r="J16" s="15" t="s">
        <v>39</v>
      </c>
      <c r="K16" s="38"/>
      <c r="L16" s="140" t="s">
        <v>39</v>
      </c>
      <c r="M16" s="38"/>
    </row>
    <row r="17" spans="1:13">
      <c r="A17" s="28"/>
      <c r="B17" s="101" t="s">
        <v>47</v>
      </c>
      <c r="C17" s="15" t="str">
        <f>IF(RIGHT(D67, 2)="01", "Cphy, ", "Dphy, ")&amp;HEX2DEC(LEFT(D64, 2))+1</f>
        <v>Dphy, 4</v>
      </c>
      <c r="D17" s="38" t="s">
        <v>40</v>
      </c>
      <c r="E17" s="15" t="str">
        <f>IF(RIGHT(F67, 2)="01", "Cphy, ", "Dphy, ")&amp;HEX2DEC(LEFT(F64, 2))+1</f>
        <v>Dphy, 4</v>
      </c>
      <c r="F17" s="38" t="s">
        <v>40</v>
      </c>
      <c r="H17" s="15" t="str">
        <f>IF(RIGHT(I67, 2)="01", "Cphy, ", "Dphy, ")&amp;HEX2DEC(LEFT(I64, 2))+1</f>
        <v>Dphy, 4</v>
      </c>
      <c r="I17" s="38" t="s">
        <v>40</v>
      </c>
      <c r="J17" s="15" t="str">
        <f>IF(RIGHT(K67, 2)="01", "Cphy, ", "Dphy, ")&amp;HEX2DEC(LEFT(K64, 2))+1</f>
        <v>Dphy, 4</v>
      </c>
      <c r="K17" s="38" t="s">
        <v>40</v>
      </c>
      <c r="L17" s="140" t="str">
        <f>IF(RIGHT(M67, 2)="01", "Cphy, ", "Dphy, ")&amp;HEX2DEC(LEFT(M64, 2))+1</f>
        <v>Dphy, 4</v>
      </c>
      <c r="M17" s="38" t="s">
        <v>40</v>
      </c>
    </row>
    <row r="18" spans="1:13">
      <c r="A18" s="186" t="s">
        <v>41</v>
      </c>
      <c r="B18" s="187"/>
      <c r="C18" s="72">
        <f>HEX2DEC(D60) * POWER(2, HEX2DEC(RIGHT(D62, 2)))</f>
        <v>3640</v>
      </c>
      <c r="D18" s="38" t="s">
        <v>11</v>
      </c>
      <c r="E18" s="72">
        <f>HEX2DEC(F60) * POWER(2, HEX2DEC(RIGHT(F62, 2)))</f>
        <v>3640</v>
      </c>
      <c r="F18" s="38" t="s">
        <v>11</v>
      </c>
      <c r="H18" s="72">
        <f>HEX2DEC(I60) * POWER(2, HEX2DEC(RIGHT(I62, 2)))</f>
        <v>3640</v>
      </c>
      <c r="I18" s="38" t="s">
        <v>11</v>
      </c>
      <c r="J18" s="72">
        <f>HEX2DEC(K60) * POWER(2, HEX2DEC(RIGHT(K62, 2)))</f>
        <v>3640</v>
      </c>
      <c r="K18" s="38" t="s">
        <v>11</v>
      </c>
      <c r="L18" s="72">
        <f>HEX2DEC(M60) * POWER(2, HEX2DEC(RIGHT(M62, 2)))</f>
        <v>3728</v>
      </c>
      <c r="M18" s="38" t="s">
        <v>11</v>
      </c>
    </row>
    <row r="19" spans="1:13">
      <c r="A19" s="186" t="s">
        <v>42</v>
      </c>
      <c r="B19" s="187"/>
      <c r="C19" s="15">
        <f>C18-C13</f>
        <v>360</v>
      </c>
      <c r="D19" s="38" t="s">
        <v>11</v>
      </c>
      <c r="E19" s="15">
        <f>E18-E13</f>
        <v>360</v>
      </c>
      <c r="F19" s="38" t="s">
        <v>11</v>
      </c>
      <c r="H19" s="15">
        <f>H18-H13</f>
        <v>360</v>
      </c>
      <c r="I19" s="38" t="s">
        <v>11</v>
      </c>
      <c r="J19" s="15">
        <f>J18-J13</f>
        <v>360</v>
      </c>
      <c r="K19" s="38" t="s">
        <v>11</v>
      </c>
      <c r="L19" s="140">
        <f>L18-L13</f>
        <v>2448</v>
      </c>
      <c r="M19" s="38" t="s">
        <v>11</v>
      </c>
    </row>
    <row r="20" spans="1:13">
      <c r="A20" s="186" t="s">
        <v>43</v>
      </c>
      <c r="B20" s="187"/>
      <c r="C20" s="15">
        <f>HEX2DEC(D61)</f>
        <v>5118</v>
      </c>
      <c r="D20" s="38" t="s">
        <v>44</v>
      </c>
      <c r="E20" s="15">
        <f>HEX2DEC(F61)</f>
        <v>5118</v>
      </c>
      <c r="F20" s="38" t="s">
        <v>44</v>
      </c>
      <c r="H20" s="15">
        <f>HEX2DEC(I61)</f>
        <v>5118</v>
      </c>
      <c r="I20" s="38" t="s">
        <v>44</v>
      </c>
      <c r="J20" s="15">
        <f>HEX2DEC(K61)</f>
        <v>5118</v>
      </c>
      <c r="K20" s="38" t="s">
        <v>44</v>
      </c>
      <c r="L20" s="140">
        <f>HEX2DEC(M61)</f>
        <v>1250</v>
      </c>
      <c r="M20" s="38" t="s">
        <v>44</v>
      </c>
    </row>
    <row r="21" spans="1:13">
      <c r="A21" s="186" t="s">
        <v>45</v>
      </c>
      <c r="B21" s="187"/>
      <c r="C21" s="15">
        <f>C20-C14</f>
        <v>2658</v>
      </c>
      <c r="D21" s="38" t="s">
        <v>44</v>
      </c>
      <c r="E21" s="15">
        <f>E20-E14</f>
        <v>3270</v>
      </c>
      <c r="F21" s="38" t="s">
        <v>44</v>
      </c>
      <c r="H21" s="15">
        <f>H20-H14</f>
        <v>3270</v>
      </c>
      <c r="I21" s="38" t="s">
        <v>44</v>
      </c>
      <c r="J21" s="15">
        <f>J20-J14</f>
        <v>2658</v>
      </c>
      <c r="K21" s="38" t="s">
        <v>44</v>
      </c>
      <c r="L21" s="140">
        <f>L20-L14</f>
        <v>530</v>
      </c>
      <c r="M21" s="38" t="s">
        <v>44</v>
      </c>
    </row>
    <row r="22" spans="1:13">
      <c r="A22" s="18"/>
      <c r="B22" s="102" t="s">
        <v>18</v>
      </c>
      <c r="C22" s="27">
        <f>C21*C18/C8/1000</f>
        <v>17.277000000000001</v>
      </c>
      <c r="D22" s="38" t="s">
        <v>19</v>
      </c>
      <c r="E22" s="27">
        <f>E21*E18/E8/1000</f>
        <v>21.254999999999999</v>
      </c>
      <c r="F22" s="38" t="s">
        <v>19</v>
      </c>
      <c r="H22" s="27">
        <f>H21*H18/H8/1000</f>
        <v>21.254999999999999</v>
      </c>
      <c r="I22" s="38" t="s">
        <v>19</v>
      </c>
      <c r="J22" s="27">
        <f>J21*J18/J8/1000</f>
        <v>17.277000000000001</v>
      </c>
      <c r="K22" s="38" t="s">
        <v>19</v>
      </c>
      <c r="L22" s="27">
        <f>L21*L18/L8/1000</f>
        <v>3.528285714285714</v>
      </c>
      <c r="M22" s="38" t="s">
        <v>19</v>
      </c>
    </row>
    <row r="23" spans="1:13" ht="15.75" thickBot="1">
      <c r="A23" s="178" t="s">
        <v>12</v>
      </c>
      <c r="B23" s="179"/>
      <c r="C23" s="24" t="s">
        <v>2</v>
      </c>
      <c r="D23" s="39" t="s">
        <v>13</v>
      </c>
      <c r="E23" s="24" t="s">
        <v>2</v>
      </c>
      <c r="F23" s="39" t="s">
        <v>13</v>
      </c>
      <c r="H23" s="24" t="s">
        <v>2</v>
      </c>
      <c r="I23" s="39" t="s">
        <v>13</v>
      </c>
      <c r="J23" s="24" t="s">
        <v>2</v>
      </c>
      <c r="K23" s="39" t="s">
        <v>13</v>
      </c>
      <c r="L23" s="142" t="s">
        <v>2</v>
      </c>
      <c r="M23" s="39" t="s">
        <v>13</v>
      </c>
    </row>
    <row r="24" spans="1:13">
      <c r="A24" s="10" t="s">
        <v>14</v>
      </c>
      <c r="B24" s="10" t="s">
        <v>15</v>
      </c>
      <c r="C24" s="11" t="s">
        <v>16</v>
      </c>
      <c r="D24" s="40" t="s">
        <v>26</v>
      </c>
      <c r="E24" s="11" t="s">
        <v>16</v>
      </c>
      <c r="F24" s="40" t="s">
        <v>26</v>
      </c>
      <c r="H24" s="11" t="s">
        <v>16</v>
      </c>
      <c r="I24" s="40" t="s">
        <v>26</v>
      </c>
      <c r="J24" s="11" t="s">
        <v>16</v>
      </c>
      <c r="K24" s="40" t="s">
        <v>26</v>
      </c>
      <c r="L24" s="11" t="s">
        <v>16</v>
      </c>
      <c r="M24" s="40" t="s">
        <v>26</v>
      </c>
    </row>
    <row r="25" spans="1:13" ht="15.75" thickBot="1">
      <c r="A25" s="110"/>
      <c r="B25" s="88"/>
      <c r="C25" s="64" t="s">
        <v>667</v>
      </c>
      <c r="D25" s="65" t="s">
        <v>153</v>
      </c>
      <c r="E25" s="64" t="s">
        <v>667</v>
      </c>
      <c r="F25" s="65" t="s">
        <v>153</v>
      </c>
      <c r="H25" s="64" t="s">
        <v>667</v>
      </c>
      <c r="I25" s="65" t="s">
        <v>153</v>
      </c>
      <c r="J25" s="64" t="s">
        <v>667</v>
      </c>
      <c r="K25" s="65" t="s">
        <v>153</v>
      </c>
      <c r="L25" s="64" t="s">
        <v>667</v>
      </c>
      <c r="M25" s="65" t="s">
        <v>153</v>
      </c>
    </row>
    <row r="26" spans="1:13">
      <c r="A26" s="111"/>
      <c r="B26" s="66" t="s">
        <v>77</v>
      </c>
      <c r="C26" s="42" t="s">
        <v>78</v>
      </c>
      <c r="D26" s="43" t="s">
        <v>157</v>
      </c>
      <c r="E26" s="42" t="s">
        <v>78</v>
      </c>
      <c r="F26" s="43" t="s">
        <v>157</v>
      </c>
      <c r="H26" s="42" t="s">
        <v>78</v>
      </c>
      <c r="I26" s="43" t="s">
        <v>157</v>
      </c>
      <c r="J26" s="42" t="s">
        <v>78</v>
      </c>
      <c r="K26" s="43" t="s">
        <v>157</v>
      </c>
      <c r="L26" s="42" t="s">
        <v>78</v>
      </c>
      <c r="M26" s="43" t="s">
        <v>157</v>
      </c>
    </row>
    <row r="27" spans="1:13">
      <c r="A27" s="112"/>
      <c r="B27" s="67" t="s">
        <v>50</v>
      </c>
      <c r="C27" s="44" t="s">
        <v>51</v>
      </c>
      <c r="D27" s="45" t="s">
        <v>84</v>
      </c>
      <c r="E27" s="44" t="s">
        <v>51</v>
      </c>
      <c r="F27" s="45" t="s">
        <v>84</v>
      </c>
      <c r="H27" s="44" t="s">
        <v>51</v>
      </c>
      <c r="I27" s="45" t="s">
        <v>84</v>
      </c>
      <c r="J27" s="44" t="s">
        <v>51</v>
      </c>
      <c r="K27" s="45" t="s">
        <v>84</v>
      </c>
      <c r="L27" s="44" t="s">
        <v>51</v>
      </c>
      <c r="M27" s="45" t="s">
        <v>84</v>
      </c>
    </row>
    <row r="28" spans="1:13">
      <c r="A28" s="112"/>
      <c r="B28" s="68" t="s">
        <v>79</v>
      </c>
      <c r="C28" s="46" t="s">
        <v>80</v>
      </c>
      <c r="D28" s="45" t="s">
        <v>109</v>
      </c>
      <c r="E28" s="46" t="s">
        <v>80</v>
      </c>
      <c r="F28" s="45" t="s">
        <v>109</v>
      </c>
      <c r="H28" s="46" t="s">
        <v>80</v>
      </c>
      <c r="I28" s="45" t="s">
        <v>109</v>
      </c>
      <c r="J28" s="46" t="s">
        <v>80</v>
      </c>
      <c r="K28" s="45" t="s">
        <v>109</v>
      </c>
      <c r="L28" s="46" t="s">
        <v>80</v>
      </c>
      <c r="M28" s="45" t="s">
        <v>109</v>
      </c>
    </row>
    <row r="29" spans="1:13">
      <c r="A29" s="112"/>
      <c r="B29" s="68" t="s">
        <v>82</v>
      </c>
      <c r="C29" s="46" t="s">
        <v>83</v>
      </c>
      <c r="D29" s="45" t="s">
        <v>1047</v>
      </c>
      <c r="E29" s="46" t="s">
        <v>83</v>
      </c>
      <c r="F29" s="45" t="s">
        <v>1047</v>
      </c>
      <c r="H29" s="46" t="s">
        <v>83</v>
      </c>
      <c r="I29" s="45" t="s">
        <v>1047</v>
      </c>
      <c r="J29" s="46" t="s">
        <v>83</v>
      </c>
      <c r="K29" s="45" t="s">
        <v>1047</v>
      </c>
      <c r="L29" s="46" t="s">
        <v>83</v>
      </c>
      <c r="M29" s="45" t="s">
        <v>1047</v>
      </c>
    </row>
    <row r="30" spans="1:13">
      <c r="A30" s="112"/>
      <c r="B30" s="68" t="s">
        <v>52</v>
      </c>
      <c r="C30" s="46" t="s">
        <v>53</v>
      </c>
      <c r="D30" s="45" t="s">
        <v>84</v>
      </c>
      <c r="E30" s="46" t="s">
        <v>53</v>
      </c>
      <c r="F30" s="45" t="s">
        <v>84</v>
      </c>
      <c r="H30" s="46" t="s">
        <v>53</v>
      </c>
      <c r="I30" s="45" t="s">
        <v>84</v>
      </c>
      <c r="J30" s="46" t="s">
        <v>53</v>
      </c>
      <c r="K30" s="45" t="s">
        <v>84</v>
      </c>
      <c r="L30" s="46" t="s">
        <v>53</v>
      </c>
      <c r="M30" s="45" t="s">
        <v>84</v>
      </c>
    </row>
    <row r="31" spans="1:13">
      <c r="A31" s="112"/>
      <c r="B31" s="68" t="s">
        <v>85</v>
      </c>
      <c r="C31" s="46" t="s">
        <v>86</v>
      </c>
      <c r="D31" s="45" t="s">
        <v>87</v>
      </c>
      <c r="E31" s="46" t="s">
        <v>86</v>
      </c>
      <c r="F31" s="45" t="s">
        <v>87</v>
      </c>
      <c r="H31" s="46" t="s">
        <v>86</v>
      </c>
      <c r="I31" s="45" t="s">
        <v>87</v>
      </c>
      <c r="J31" s="46" t="s">
        <v>86</v>
      </c>
      <c r="K31" s="45" t="s">
        <v>87</v>
      </c>
      <c r="L31" s="46" t="s">
        <v>86</v>
      </c>
      <c r="M31" s="45" t="s">
        <v>87</v>
      </c>
    </row>
    <row r="32" spans="1:13">
      <c r="A32" s="112"/>
      <c r="B32" s="68" t="s">
        <v>88</v>
      </c>
      <c r="C32" s="46" t="s">
        <v>89</v>
      </c>
      <c r="D32" s="45" t="s">
        <v>158</v>
      </c>
      <c r="E32" s="46" t="s">
        <v>89</v>
      </c>
      <c r="F32" s="45" t="s">
        <v>158</v>
      </c>
      <c r="H32" s="46" t="s">
        <v>89</v>
      </c>
      <c r="I32" s="45" t="s">
        <v>158</v>
      </c>
      <c r="J32" s="46" t="s">
        <v>89</v>
      </c>
      <c r="K32" s="45" t="s">
        <v>158</v>
      </c>
      <c r="L32" s="46" t="s">
        <v>89</v>
      </c>
      <c r="M32" s="45" t="s">
        <v>158</v>
      </c>
    </row>
    <row r="33" spans="1:13">
      <c r="A33" s="112"/>
      <c r="B33" s="68" t="s">
        <v>54</v>
      </c>
      <c r="C33" s="46" t="s">
        <v>55</v>
      </c>
      <c r="D33" s="45" t="s">
        <v>109</v>
      </c>
      <c r="E33" s="46" t="s">
        <v>55</v>
      </c>
      <c r="F33" s="45" t="s">
        <v>109</v>
      </c>
      <c r="H33" s="46" t="s">
        <v>55</v>
      </c>
      <c r="I33" s="45" t="s">
        <v>109</v>
      </c>
      <c r="J33" s="46" t="s">
        <v>55</v>
      </c>
      <c r="K33" s="45" t="s">
        <v>109</v>
      </c>
      <c r="L33" s="46" t="s">
        <v>55</v>
      </c>
      <c r="M33" s="45" t="s">
        <v>109</v>
      </c>
    </row>
    <row r="34" spans="1:13">
      <c r="A34" s="112"/>
      <c r="B34" s="68" t="s">
        <v>91</v>
      </c>
      <c r="C34" s="46" t="s">
        <v>92</v>
      </c>
      <c r="D34" s="45" t="s">
        <v>1048</v>
      </c>
      <c r="E34" s="46" t="s">
        <v>92</v>
      </c>
      <c r="F34" s="45" t="s">
        <v>1048</v>
      </c>
      <c r="H34" s="46" t="s">
        <v>92</v>
      </c>
      <c r="I34" s="45" t="s">
        <v>1048</v>
      </c>
      <c r="J34" s="46" t="s">
        <v>92</v>
      </c>
      <c r="K34" s="45" t="s">
        <v>1048</v>
      </c>
      <c r="L34" s="46" t="s">
        <v>92</v>
      </c>
      <c r="M34" s="45" t="s">
        <v>1048</v>
      </c>
    </row>
    <row r="35" spans="1:13">
      <c r="A35" s="112"/>
      <c r="B35" s="68" t="s">
        <v>880</v>
      </c>
      <c r="C35" s="46" t="s">
        <v>881</v>
      </c>
      <c r="D35" s="45" t="s">
        <v>84</v>
      </c>
      <c r="E35" s="46" t="s">
        <v>881</v>
      </c>
      <c r="F35" s="45" t="s">
        <v>84</v>
      </c>
      <c r="H35" s="46" t="s">
        <v>881</v>
      </c>
      <c r="I35" s="45" t="s">
        <v>84</v>
      </c>
      <c r="J35" s="46" t="s">
        <v>881</v>
      </c>
      <c r="K35" s="45" t="s">
        <v>84</v>
      </c>
      <c r="L35" s="46" t="s">
        <v>881</v>
      </c>
      <c r="M35" s="45" t="s">
        <v>84</v>
      </c>
    </row>
    <row r="36" spans="1:13">
      <c r="A36" s="112"/>
      <c r="B36" s="68" t="s">
        <v>93</v>
      </c>
      <c r="C36" s="46" t="s">
        <v>94</v>
      </c>
      <c r="D36" s="45" t="s">
        <v>84</v>
      </c>
      <c r="E36" s="46" t="s">
        <v>94</v>
      </c>
      <c r="F36" s="45" t="s">
        <v>84</v>
      </c>
      <c r="H36" s="46" t="s">
        <v>94</v>
      </c>
      <c r="I36" s="45" t="s">
        <v>84</v>
      </c>
      <c r="J36" s="46" t="s">
        <v>94</v>
      </c>
      <c r="K36" s="45" t="s">
        <v>84</v>
      </c>
      <c r="L36" s="46" t="s">
        <v>94</v>
      </c>
      <c r="M36" s="45" t="s">
        <v>84</v>
      </c>
    </row>
    <row r="37" spans="1:13">
      <c r="A37" s="112"/>
      <c r="B37" s="67" t="s">
        <v>56</v>
      </c>
      <c r="C37" s="44" t="s">
        <v>57</v>
      </c>
      <c r="D37" s="45" t="s">
        <v>87</v>
      </c>
      <c r="E37" s="44" t="s">
        <v>57</v>
      </c>
      <c r="F37" s="45" t="s">
        <v>87</v>
      </c>
      <c r="H37" s="44" t="s">
        <v>57</v>
      </c>
      <c r="I37" s="45" t="s">
        <v>87</v>
      </c>
      <c r="J37" s="44" t="s">
        <v>57</v>
      </c>
      <c r="K37" s="45" t="s">
        <v>87</v>
      </c>
      <c r="L37" s="44" t="s">
        <v>57</v>
      </c>
      <c r="M37" s="45" t="s">
        <v>87</v>
      </c>
    </row>
    <row r="38" spans="1:13">
      <c r="A38" s="112"/>
      <c r="B38" s="67" t="s">
        <v>95</v>
      </c>
      <c r="C38" s="44" t="s">
        <v>96</v>
      </c>
      <c r="D38" s="45" t="s">
        <v>90</v>
      </c>
      <c r="E38" s="44" t="s">
        <v>96</v>
      </c>
      <c r="F38" s="45" t="s">
        <v>90</v>
      </c>
      <c r="H38" s="44" t="s">
        <v>96</v>
      </c>
      <c r="I38" s="45" t="s">
        <v>90</v>
      </c>
      <c r="J38" s="44" t="s">
        <v>96</v>
      </c>
      <c r="K38" s="45" t="s">
        <v>90</v>
      </c>
      <c r="L38" s="44" t="s">
        <v>96</v>
      </c>
      <c r="M38" s="45" t="s">
        <v>90</v>
      </c>
    </row>
    <row r="39" spans="1:13">
      <c r="A39" s="112"/>
      <c r="B39" s="67" t="s">
        <v>882</v>
      </c>
      <c r="C39" s="44" t="s">
        <v>883</v>
      </c>
      <c r="D39" s="45" t="s">
        <v>84</v>
      </c>
      <c r="E39" s="44" t="s">
        <v>883</v>
      </c>
      <c r="F39" s="45" t="s">
        <v>84</v>
      </c>
      <c r="H39" s="44" t="s">
        <v>883</v>
      </c>
      <c r="I39" s="45" t="s">
        <v>84</v>
      </c>
      <c r="J39" s="44" t="s">
        <v>883</v>
      </c>
      <c r="K39" s="45" t="s">
        <v>84</v>
      </c>
      <c r="L39" s="44" t="s">
        <v>883</v>
      </c>
      <c r="M39" s="45" t="s">
        <v>84</v>
      </c>
    </row>
    <row r="40" spans="1:13">
      <c r="A40" s="112"/>
      <c r="B40" s="67"/>
      <c r="C40" s="44" t="s">
        <v>667</v>
      </c>
      <c r="D40" s="45" t="s">
        <v>151</v>
      </c>
      <c r="E40" s="44" t="s">
        <v>667</v>
      </c>
      <c r="F40" s="45" t="s">
        <v>151</v>
      </c>
      <c r="H40" s="44" t="s">
        <v>667</v>
      </c>
      <c r="I40" s="45" t="s">
        <v>151</v>
      </c>
      <c r="J40" s="44" t="s">
        <v>667</v>
      </c>
      <c r="K40" s="45" t="s">
        <v>151</v>
      </c>
      <c r="L40" s="44" t="s">
        <v>667</v>
      </c>
      <c r="M40" s="45" t="s">
        <v>151</v>
      </c>
    </row>
    <row r="41" spans="1:13" ht="15.75" thickBot="1">
      <c r="A41" s="113"/>
      <c r="B41" s="69" t="s">
        <v>150</v>
      </c>
      <c r="C41" s="47" t="s">
        <v>159</v>
      </c>
      <c r="D41" s="48" t="s">
        <v>152</v>
      </c>
      <c r="E41" s="47" t="s">
        <v>159</v>
      </c>
      <c r="F41" s="48" t="s">
        <v>152</v>
      </c>
      <c r="H41" s="47" t="s">
        <v>159</v>
      </c>
      <c r="I41" s="48" t="s">
        <v>152</v>
      </c>
      <c r="J41" s="47" t="s">
        <v>159</v>
      </c>
      <c r="K41" s="48" t="s">
        <v>152</v>
      </c>
      <c r="L41" s="47" t="s">
        <v>159</v>
      </c>
      <c r="M41" s="48" t="s">
        <v>152</v>
      </c>
    </row>
    <row r="42" spans="1:13">
      <c r="A42" s="112"/>
      <c r="B42" s="67"/>
      <c r="C42" s="44" t="s">
        <v>667</v>
      </c>
      <c r="D42" s="45" t="s">
        <v>153</v>
      </c>
      <c r="E42" s="44" t="s">
        <v>667</v>
      </c>
      <c r="F42" s="45" t="s">
        <v>153</v>
      </c>
      <c r="H42" s="44" t="s">
        <v>667</v>
      </c>
      <c r="I42" s="45" t="s">
        <v>153</v>
      </c>
      <c r="J42" s="44" t="s">
        <v>667</v>
      </c>
      <c r="K42" s="45" t="s">
        <v>153</v>
      </c>
      <c r="L42" s="143" t="s">
        <v>667</v>
      </c>
      <c r="M42" s="144" t="s">
        <v>153</v>
      </c>
    </row>
    <row r="43" spans="1:13">
      <c r="A43" s="114"/>
      <c r="B43" s="29" t="s">
        <v>97</v>
      </c>
      <c r="C43" s="49" t="s">
        <v>98</v>
      </c>
      <c r="D43" s="50" t="s">
        <v>84</v>
      </c>
      <c r="E43" s="49" t="s">
        <v>98</v>
      </c>
      <c r="F43" s="50" t="s">
        <v>84</v>
      </c>
      <c r="H43" s="49" t="s">
        <v>98</v>
      </c>
      <c r="I43" s="50" t="s">
        <v>84</v>
      </c>
      <c r="J43" s="49" t="s">
        <v>98</v>
      </c>
      <c r="K43" s="50" t="s">
        <v>84</v>
      </c>
      <c r="L43" s="145" t="s">
        <v>98</v>
      </c>
      <c r="M43" s="146" t="s">
        <v>1083</v>
      </c>
    </row>
    <row r="44" spans="1:13">
      <c r="A44" s="114"/>
      <c r="B44" s="29" t="s">
        <v>100</v>
      </c>
      <c r="C44" s="49" t="s">
        <v>101</v>
      </c>
      <c r="D44" s="50" t="s">
        <v>160</v>
      </c>
      <c r="E44" s="49" t="s">
        <v>101</v>
      </c>
      <c r="F44" s="50" t="s">
        <v>160</v>
      </c>
      <c r="H44" s="49" t="s">
        <v>101</v>
      </c>
      <c r="I44" s="50" t="s">
        <v>160</v>
      </c>
      <c r="J44" s="49" t="s">
        <v>101</v>
      </c>
      <c r="K44" s="50" t="s">
        <v>160</v>
      </c>
      <c r="L44" s="145" t="s">
        <v>101</v>
      </c>
      <c r="M44" s="146" t="s">
        <v>1084</v>
      </c>
    </row>
    <row r="45" spans="1:13">
      <c r="A45" s="114"/>
      <c r="B45" s="29" t="s">
        <v>102</v>
      </c>
      <c r="C45" s="49" t="s">
        <v>103</v>
      </c>
      <c r="D45" s="51" t="s">
        <v>84</v>
      </c>
      <c r="E45" s="49" t="s">
        <v>103</v>
      </c>
      <c r="F45" s="51" t="s">
        <v>1061</v>
      </c>
      <c r="H45" s="49" t="s">
        <v>103</v>
      </c>
      <c r="I45" s="51" t="s">
        <v>1061</v>
      </c>
      <c r="J45" s="49" t="s">
        <v>103</v>
      </c>
      <c r="K45" s="51" t="s">
        <v>84</v>
      </c>
      <c r="L45" s="145" t="s">
        <v>103</v>
      </c>
      <c r="M45" s="147" t="s">
        <v>1085</v>
      </c>
    </row>
    <row r="46" spans="1:13">
      <c r="A46" s="114"/>
      <c r="B46" s="29" t="s">
        <v>58</v>
      </c>
      <c r="C46" s="49" t="s">
        <v>59</v>
      </c>
      <c r="D46" s="50" t="s">
        <v>161</v>
      </c>
      <c r="E46" s="49" t="s">
        <v>59</v>
      </c>
      <c r="F46" s="50" t="s">
        <v>1062</v>
      </c>
      <c r="H46" s="49" t="s">
        <v>59</v>
      </c>
      <c r="I46" s="50" t="s">
        <v>1062</v>
      </c>
      <c r="J46" s="49" t="s">
        <v>59</v>
      </c>
      <c r="K46" s="50" t="s">
        <v>161</v>
      </c>
      <c r="L46" s="145" t="s">
        <v>59</v>
      </c>
      <c r="M46" s="146" t="s">
        <v>1086</v>
      </c>
    </row>
    <row r="47" spans="1:13">
      <c r="A47" s="114"/>
      <c r="B47" s="29" t="s">
        <v>104</v>
      </c>
      <c r="C47" s="49" t="s">
        <v>105</v>
      </c>
      <c r="D47" s="50" t="s">
        <v>109</v>
      </c>
      <c r="E47" s="49" t="s">
        <v>105</v>
      </c>
      <c r="F47" s="50" t="s">
        <v>109</v>
      </c>
      <c r="H47" s="49" t="s">
        <v>105</v>
      </c>
      <c r="I47" s="50" t="s">
        <v>109</v>
      </c>
      <c r="J47" s="49" t="s">
        <v>105</v>
      </c>
      <c r="K47" s="50" t="s">
        <v>109</v>
      </c>
      <c r="L47" s="145" t="s">
        <v>105</v>
      </c>
      <c r="M47" s="146" t="s">
        <v>81</v>
      </c>
    </row>
    <row r="48" spans="1:13">
      <c r="A48" s="114"/>
      <c r="B48" s="29" t="s">
        <v>107</v>
      </c>
      <c r="C48" s="49" t="s">
        <v>108</v>
      </c>
      <c r="D48" s="50" t="s">
        <v>158</v>
      </c>
      <c r="E48" s="49" t="s">
        <v>108</v>
      </c>
      <c r="F48" s="50" t="s">
        <v>109</v>
      </c>
      <c r="H48" s="49" t="s">
        <v>108</v>
      </c>
      <c r="I48" s="50" t="s">
        <v>109</v>
      </c>
      <c r="J48" s="49" t="s">
        <v>108</v>
      </c>
      <c r="K48" s="50" t="s">
        <v>158</v>
      </c>
      <c r="L48" s="145" t="s">
        <v>108</v>
      </c>
      <c r="M48" s="146" t="s">
        <v>109</v>
      </c>
    </row>
    <row r="49" spans="1:13">
      <c r="A49" s="114"/>
      <c r="B49" s="29" t="s">
        <v>60</v>
      </c>
      <c r="C49" s="49" t="s">
        <v>61</v>
      </c>
      <c r="D49" s="50" t="s">
        <v>215</v>
      </c>
      <c r="E49" s="49" t="s">
        <v>61</v>
      </c>
      <c r="F49" s="50" t="s">
        <v>215</v>
      </c>
      <c r="H49" s="49" t="s">
        <v>61</v>
      </c>
      <c r="I49" s="50" t="s">
        <v>215</v>
      </c>
      <c r="J49" s="49" t="s">
        <v>61</v>
      </c>
      <c r="K49" s="50" t="s">
        <v>215</v>
      </c>
      <c r="L49" s="145" t="s">
        <v>61</v>
      </c>
      <c r="M49" s="146" t="s">
        <v>1087</v>
      </c>
    </row>
    <row r="50" spans="1:13" ht="15.75" thickBot="1">
      <c r="A50" s="115"/>
      <c r="B50" s="53" t="s">
        <v>62</v>
      </c>
      <c r="C50" s="52" t="s">
        <v>63</v>
      </c>
      <c r="D50" s="54" t="s">
        <v>1063</v>
      </c>
      <c r="E50" s="52" t="s">
        <v>63</v>
      </c>
      <c r="F50" s="54" t="s">
        <v>851</v>
      </c>
      <c r="H50" s="52" t="s">
        <v>63</v>
      </c>
      <c r="I50" s="54" t="s">
        <v>851</v>
      </c>
      <c r="J50" s="52" t="s">
        <v>63</v>
      </c>
      <c r="K50" s="54" t="s">
        <v>1063</v>
      </c>
      <c r="L50" s="148" t="s">
        <v>63</v>
      </c>
      <c r="M50" s="149" t="s">
        <v>1083</v>
      </c>
    </row>
    <row r="51" spans="1:13" ht="15" customHeight="1">
      <c r="A51" s="116"/>
      <c r="B51" s="70" t="s">
        <v>112</v>
      </c>
      <c r="C51" s="49" t="s">
        <v>111</v>
      </c>
      <c r="D51" s="50" t="s">
        <v>138</v>
      </c>
      <c r="E51" s="49" t="s">
        <v>111</v>
      </c>
      <c r="F51" s="50" t="s">
        <v>138</v>
      </c>
      <c r="H51" s="49" t="s">
        <v>111</v>
      </c>
      <c r="I51" s="50" t="s">
        <v>138</v>
      </c>
      <c r="J51" s="49" t="s">
        <v>111</v>
      </c>
      <c r="K51" s="50" t="s">
        <v>138</v>
      </c>
      <c r="L51" s="145" t="s">
        <v>111</v>
      </c>
      <c r="M51" s="146" t="s">
        <v>1088</v>
      </c>
    </row>
    <row r="52" spans="1:13">
      <c r="A52" s="116"/>
      <c r="B52" s="29" t="s">
        <v>143</v>
      </c>
      <c r="C52" s="49" t="s">
        <v>136</v>
      </c>
      <c r="D52" s="50" t="s">
        <v>110</v>
      </c>
      <c r="E52" s="49" t="s">
        <v>136</v>
      </c>
      <c r="F52" s="50" t="s">
        <v>110</v>
      </c>
      <c r="H52" s="49" t="s">
        <v>136</v>
      </c>
      <c r="I52" s="50" t="s">
        <v>110</v>
      </c>
      <c r="J52" s="49" t="s">
        <v>136</v>
      </c>
      <c r="K52" s="50" t="s">
        <v>110</v>
      </c>
      <c r="L52" s="145" t="s">
        <v>136</v>
      </c>
      <c r="M52" s="146" t="s">
        <v>1089</v>
      </c>
    </row>
    <row r="53" spans="1:13">
      <c r="A53" s="116"/>
      <c r="B53" s="29" t="s">
        <v>154</v>
      </c>
      <c r="C53" s="49" t="s">
        <v>162</v>
      </c>
      <c r="D53" s="50" t="s">
        <v>84</v>
      </c>
      <c r="E53" s="49" t="s">
        <v>162</v>
      </c>
      <c r="F53" s="50" t="s">
        <v>84</v>
      </c>
      <c r="H53" s="49" t="s">
        <v>162</v>
      </c>
      <c r="I53" s="50" t="s">
        <v>84</v>
      </c>
      <c r="J53" s="49" t="s">
        <v>162</v>
      </c>
      <c r="K53" s="50" t="s">
        <v>84</v>
      </c>
      <c r="L53" s="145" t="s">
        <v>162</v>
      </c>
      <c r="M53" s="146" t="s">
        <v>84</v>
      </c>
    </row>
    <row r="54" spans="1:13">
      <c r="A54" s="116"/>
      <c r="B54" s="29" t="s">
        <v>156</v>
      </c>
      <c r="C54" s="49" t="s">
        <v>163</v>
      </c>
      <c r="D54" s="50" t="s">
        <v>84</v>
      </c>
      <c r="E54" s="49" t="s">
        <v>163</v>
      </c>
      <c r="F54" s="50" t="s">
        <v>84</v>
      </c>
      <c r="H54" s="49" t="s">
        <v>163</v>
      </c>
      <c r="I54" s="50" t="s">
        <v>84</v>
      </c>
      <c r="J54" s="49" t="s">
        <v>163</v>
      </c>
      <c r="K54" s="50" t="s">
        <v>84</v>
      </c>
      <c r="L54" s="145" t="s">
        <v>163</v>
      </c>
      <c r="M54" s="146" t="s">
        <v>84</v>
      </c>
    </row>
    <row r="55" spans="1:13">
      <c r="A55" s="116"/>
      <c r="B55" s="29" t="s">
        <v>155</v>
      </c>
      <c r="C55" s="49" t="s">
        <v>164</v>
      </c>
      <c r="D55" s="50" t="s">
        <v>110</v>
      </c>
      <c r="E55" s="49" t="s">
        <v>164</v>
      </c>
      <c r="F55" s="50" t="s">
        <v>110</v>
      </c>
      <c r="H55" s="49" t="s">
        <v>164</v>
      </c>
      <c r="I55" s="50" t="s">
        <v>110</v>
      </c>
      <c r="J55" s="49" t="s">
        <v>164</v>
      </c>
      <c r="K55" s="50" t="s">
        <v>110</v>
      </c>
      <c r="L55" s="145" t="s">
        <v>164</v>
      </c>
      <c r="M55" s="146" t="s">
        <v>99</v>
      </c>
    </row>
    <row r="56" spans="1:13">
      <c r="A56" s="116"/>
      <c r="B56" s="70" t="s">
        <v>113</v>
      </c>
      <c r="C56" s="55" t="s">
        <v>114</v>
      </c>
      <c r="D56" s="50" t="s">
        <v>81</v>
      </c>
      <c r="E56" s="55" t="s">
        <v>114</v>
      </c>
      <c r="F56" s="50" t="s">
        <v>81</v>
      </c>
      <c r="H56" s="55" t="s">
        <v>114</v>
      </c>
      <c r="I56" s="50" t="s">
        <v>81</v>
      </c>
      <c r="J56" s="55" t="s">
        <v>114</v>
      </c>
      <c r="K56" s="50" t="s">
        <v>81</v>
      </c>
      <c r="L56" s="150" t="s">
        <v>114</v>
      </c>
      <c r="M56" s="146" t="s">
        <v>81</v>
      </c>
    </row>
    <row r="57" spans="1:13">
      <c r="A57" s="116"/>
      <c r="B57" s="70" t="s">
        <v>115</v>
      </c>
      <c r="C57" s="55" t="s">
        <v>116</v>
      </c>
      <c r="D57" s="50" t="s">
        <v>81</v>
      </c>
      <c r="E57" s="55" t="s">
        <v>116</v>
      </c>
      <c r="F57" s="50" t="s">
        <v>81</v>
      </c>
      <c r="H57" s="55" t="s">
        <v>116</v>
      </c>
      <c r="I57" s="50" t="s">
        <v>81</v>
      </c>
      <c r="J57" s="55" t="s">
        <v>116</v>
      </c>
      <c r="K57" s="50" t="s">
        <v>81</v>
      </c>
      <c r="L57" s="150" t="s">
        <v>116</v>
      </c>
      <c r="M57" s="146" t="s">
        <v>81</v>
      </c>
    </row>
    <row r="58" spans="1:13">
      <c r="A58" s="116"/>
      <c r="B58" s="70" t="s">
        <v>117</v>
      </c>
      <c r="C58" s="55" t="s">
        <v>118</v>
      </c>
      <c r="D58" s="50" t="s">
        <v>81</v>
      </c>
      <c r="E58" s="55" t="s">
        <v>118</v>
      </c>
      <c r="F58" s="50" t="s">
        <v>81</v>
      </c>
      <c r="H58" s="55" t="s">
        <v>118</v>
      </c>
      <c r="I58" s="50" t="s">
        <v>81</v>
      </c>
      <c r="J58" s="55" t="s">
        <v>118</v>
      </c>
      <c r="K58" s="50" t="s">
        <v>81</v>
      </c>
      <c r="L58" s="150" t="s">
        <v>118</v>
      </c>
      <c r="M58" s="146" t="s">
        <v>81</v>
      </c>
    </row>
    <row r="59" spans="1:13" ht="15.75" thickBot="1">
      <c r="A59" s="116"/>
      <c r="B59" s="29" t="s">
        <v>119</v>
      </c>
      <c r="C59" s="49" t="s">
        <v>120</v>
      </c>
      <c r="D59" s="50" t="s">
        <v>81</v>
      </c>
      <c r="E59" s="49" t="s">
        <v>120</v>
      </c>
      <c r="F59" s="50" t="s">
        <v>81</v>
      </c>
      <c r="H59" s="49" t="s">
        <v>120</v>
      </c>
      <c r="I59" s="50" t="s">
        <v>81</v>
      </c>
      <c r="J59" s="49" t="s">
        <v>120</v>
      </c>
      <c r="K59" s="50" t="s">
        <v>81</v>
      </c>
      <c r="L59" s="145" t="s">
        <v>120</v>
      </c>
      <c r="M59" s="146" t="s">
        <v>158</v>
      </c>
    </row>
    <row r="60" spans="1:13">
      <c r="A60" s="117"/>
      <c r="B60" s="71" t="s">
        <v>121</v>
      </c>
      <c r="C60" s="56" t="s">
        <v>122</v>
      </c>
      <c r="D60" s="57" t="s">
        <v>1049</v>
      </c>
      <c r="E60" s="56" t="s">
        <v>122</v>
      </c>
      <c r="F60" s="57" t="s">
        <v>1049</v>
      </c>
      <c r="H60" s="56" t="s">
        <v>122</v>
      </c>
      <c r="I60" s="57" t="s">
        <v>1049</v>
      </c>
      <c r="J60" s="56" t="s">
        <v>122</v>
      </c>
      <c r="K60" s="57" t="s">
        <v>1049</v>
      </c>
      <c r="L60" s="151" t="s">
        <v>122</v>
      </c>
      <c r="M60" s="152" t="s">
        <v>1090</v>
      </c>
    </row>
    <row r="61" spans="1:13">
      <c r="A61" s="116"/>
      <c r="B61" s="70" t="s">
        <v>123</v>
      </c>
      <c r="C61" s="55" t="s">
        <v>124</v>
      </c>
      <c r="D61" s="51" t="s">
        <v>1050</v>
      </c>
      <c r="E61" s="55" t="s">
        <v>124</v>
      </c>
      <c r="F61" s="51" t="s">
        <v>1050</v>
      </c>
      <c r="H61" s="55" t="s">
        <v>124</v>
      </c>
      <c r="I61" s="51" t="s">
        <v>1050</v>
      </c>
      <c r="J61" s="55" t="s">
        <v>124</v>
      </c>
      <c r="K61" s="51" t="s">
        <v>1050</v>
      </c>
      <c r="L61" s="150" t="s">
        <v>124</v>
      </c>
      <c r="M61" s="147" t="s">
        <v>1091</v>
      </c>
    </row>
    <row r="62" spans="1:13" ht="15.75" thickBot="1">
      <c r="A62" s="116"/>
      <c r="B62" s="29" t="s">
        <v>125</v>
      </c>
      <c r="C62" s="49" t="s">
        <v>126</v>
      </c>
      <c r="D62" s="51" t="s">
        <v>84</v>
      </c>
      <c r="E62" s="49" t="s">
        <v>126</v>
      </c>
      <c r="F62" s="51" t="s">
        <v>84</v>
      </c>
      <c r="H62" s="49" t="s">
        <v>126</v>
      </c>
      <c r="I62" s="51" t="s">
        <v>84</v>
      </c>
      <c r="J62" s="49" t="s">
        <v>126</v>
      </c>
      <c r="K62" s="51" t="s">
        <v>84</v>
      </c>
      <c r="L62" s="145" t="s">
        <v>126</v>
      </c>
      <c r="M62" s="147" t="s">
        <v>84</v>
      </c>
    </row>
    <row r="63" spans="1:13">
      <c r="A63" s="117"/>
      <c r="B63" s="71" t="s">
        <v>127</v>
      </c>
      <c r="C63" s="56" t="s">
        <v>128</v>
      </c>
      <c r="D63" s="57" t="s">
        <v>64</v>
      </c>
      <c r="E63" s="56" t="s">
        <v>128</v>
      </c>
      <c r="F63" s="57" t="s">
        <v>64</v>
      </c>
      <c r="H63" s="56" t="s">
        <v>128</v>
      </c>
      <c r="I63" s="57" t="s">
        <v>64</v>
      </c>
      <c r="J63" s="56" t="s">
        <v>128</v>
      </c>
      <c r="K63" s="57" t="s">
        <v>64</v>
      </c>
      <c r="L63" s="151" t="s">
        <v>128</v>
      </c>
      <c r="M63" s="152" t="s">
        <v>64</v>
      </c>
    </row>
    <row r="64" spans="1:13">
      <c r="A64" s="114"/>
      <c r="B64" s="29" t="s">
        <v>129</v>
      </c>
      <c r="C64" s="49" t="s">
        <v>130</v>
      </c>
      <c r="D64" s="50" t="s">
        <v>89</v>
      </c>
      <c r="E64" s="49" t="s">
        <v>130</v>
      </c>
      <c r="F64" s="50" t="s">
        <v>89</v>
      </c>
      <c r="H64" s="49" t="s">
        <v>130</v>
      </c>
      <c r="I64" s="50" t="s">
        <v>1092</v>
      </c>
      <c r="J64" s="49" t="s">
        <v>130</v>
      </c>
      <c r="K64" s="50" t="s">
        <v>1092</v>
      </c>
      <c r="L64" s="145" t="s">
        <v>130</v>
      </c>
      <c r="M64" s="146" t="s">
        <v>89</v>
      </c>
    </row>
    <row r="65" spans="1:13">
      <c r="A65" s="114"/>
      <c r="B65" s="29" t="s">
        <v>131</v>
      </c>
      <c r="C65" s="49" t="s">
        <v>132</v>
      </c>
      <c r="D65" s="50" t="s">
        <v>139</v>
      </c>
      <c r="E65" s="49" t="s">
        <v>132</v>
      </c>
      <c r="F65" s="50" t="s">
        <v>139</v>
      </c>
      <c r="H65" s="49" t="s">
        <v>132</v>
      </c>
      <c r="I65" s="153" t="s">
        <v>1093</v>
      </c>
      <c r="J65" s="49" t="s">
        <v>132</v>
      </c>
      <c r="K65" s="153" t="s">
        <v>1093</v>
      </c>
      <c r="L65" s="145" t="s">
        <v>132</v>
      </c>
      <c r="M65" s="146" t="s">
        <v>139</v>
      </c>
    </row>
    <row r="66" spans="1:13">
      <c r="A66" s="114"/>
      <c r="B66" s="29" t="s">
        <v>133</v>
      </c>
      <c r="C66" s="49" t="s">
        <v>134</v>
      </c>
      <c r="D66" s="50" t="s">
        <v>84</v>
      </c>
      <c r="E66" s="49" t="s">
        <v>134</v>
      </c>
      <c r="F66" s="50" t="s">
        <v>84</v>
      </c>
      <c r="H66" s="49" t="s">
        <v>134</v>
      </c>
      <c r="I66" s="50" t="s">
        <v>84</v>
      </c>
      <c r="J66" s="49" t="s">
        <v>134</v>
      </c>
      <c r="K66" s="50" t="s">
        <v>84</v>
      </c>
      <c r="L66" s="145" t="s">
        <v>134</v>
      </c>
      <c r="M66" s="146" t="s">
        <v>84</v>
      </c>
    </row>
    <row r="67" spans="1:13">
      <c r="A67" s="114"/>
      <c r="B67" s="29" t="s">
        <v>65</v>
      </c>
      <c r="C67" s="49" t="s">
        <v>66</v>
      </c>
      <c r="D67" s="50" t="s">
        <v>1</v>
      </c>
      <c r="E67" s="49" t="s">
        <v>66</v>
      </c>
      <c r="F67" s="50" t="s">
        <v>1</v>
      </c>
      <c r="H67" s="49" t="s">
        <v>66</v>
      </c>
      <c r="I67" s="50" t="s">
        <v>1</v>
      </c>
      <c r="J67" s="49" t="s">
        <v>66</v>
      </c>
      <c r="K67" s="50" t="s">
        <v>1</v>
      </c>
      <c r="L67" s="145" t="s">
        <v>66</v>
      </c>
      <c r="M67" s="146" t="s">
        <v>1</v>
      </c>
    </row>
    <row r="68" spans="1:13">
      <c r="A68" s="114"/>
      <c r="B68" s="29" t="s">
        <v>165</v>
      </c>
      <c r="C68" s="49" t="s">
        <v>166</v>
      </c>
      <c r="D68" s="50" t="s">
        <v>394</v>
      </c>
      <c r="E68" s="49" t="s">
        <v>166</v>
      </c>
      <c r="F68" s="50" t="s">
        <v>394</v>
      </c>
      <c r="H68" s="49" t="s">
        <v>166</v>
      </c>
      <c r="I68" s="50" t="s">
        <v>394</v>
      </c>
      <c r="J68" s="49" t="s">
        <v>166</v>
      </c>
      <c r="K68" s="50" t="s">
        <v>394</v>
      </c>
      <c r="L68" s="145" t="s">
        <v>166</v>
      </c>
      <c r="M68" s="146" t="s">
        <v>394</v>
      </c>
    </row>
    <row r="69" spans="1:13" ht="15.75" thickBot="1">
      <c r="A69" s="115"/>
      <c r="B69" s="53" t="s">
        <v>499</v>
      </c>
      <c r="C69" s="52" t="s">
        <v>500</v>
      </c>
      <c r="D69" s="54" t="s">
        <v>84</v>
      </c>
      <c r="E69" s="52" t="s">
        <v>500</v>
      </c>
      <c r="F69" s="54" t="s">
        <v>84</v>
      </c>
      <c r="H69" s="52" t="s">
        <v>500</v>
      </c>
      <c r="I69" s="54" t="s">
        <v>84</v>
      </c>
      <c r="J69" s="52" t="s">
        <v>500</v>
      </c>
      <c r="K69" s="54" t="s">
        <v>84</v>
      </c>
      <c r="L69" s="145" t="s">
        <v>500</v>
      </c>
      <c r="M69" s="146" t="s">
        <v>84</v>
      </c>
    </row>
    <row r="70" spans="1:13">
      <c r="A70" s="114"/>
      <c r="B70" s="29" t="s">
        <v>67</v>
      </c>
      <c r="C70" s="49" t="s">
        <v>68</v>
      </c>
      <c r="D70" s="50" t="s">
        <v>135</v>
      </c>
      <c r="E70" s="49" t="s">
        <v>68</v>
      </c>
      <c r="F70" s="50" t="s">
        <v>135</v>
      </c>
      <c r="H70" s="49" t="s">
        <v>68</v>
      </c>
      <c r="I70" s="50" t="s">
        <v>135</v>
      </c>
      <c r="J70" s="49" t="s">
        <v>68</v>
      </c>
      <c r="K70" s="50" t="s">
        <v>135</v>
      </c>
      <c r="L70" s="154" t="s">
        <v>68</v>
      </c>
      <c r="M70" s="155" t="s">
        <v>135</v>
      </c>
    </row>
    <row r="71" spans="1:13">
      <c r="A71" s="114"/>
      <c r="B71" s="29" t="s">
        <v>69</v>
      </c>
      <c r="C71" s="49" t="s">
        <v>70</v>
      </c>
      <c r="D71" s="50" t="s">
        <v>87</v>
      </c>
      <c r="E71" s="49" t="s">
        <v>70</v>
      </c>
      <c r="F71" s="50" t="s">
        <v>87</v>
      </c>
      <c r="H71" s="49" t="s">
        <v>70</v>
      </c>
      <c r="I71" s="50" t="s">
        <v>135</v>
      </c>
      <c r="J71" s="49" t="s">
        <v>70</v>
      </c>
      <c r="K71" s="50" t="s">
        <v>135</v>
      </c>
      <c r="L71" s="145" t="s">
        <v>70</v>
      </c>
      <c r="M71" s="146" t="s">
        <v>87</v>
      </c>
    </row>
    <row r="72" spans="1:13">
      <c r="B72" s="29" t="s">
        <v>71</v>
      </c>
      <c r="C72" s="49" t="s">
        <v>72</v>
      </c>
      <c r="D72" s="50" t="s">
        <v>81</v>
      </c>
      <c r="E72" s="49" t="s">
        <v>72</v>
      </c>
      <c r="F72" s="50" t="s">
        <v>81</v>
      </c>
      <c r="H72" s="49" t="s">
        <v>72</v>
      </c>
      <c r="I72" s="50" t="s">
        <v>1094</v>
      </c>
      <c r="J72" s="49" t="s">
        <v>72</v>
      </c>
      <c r="K72" s="50" t="s">
        <v>1094</v>
      </c>
      <c r="L72" s="145" t="s">
        <v>72</v>
      </c>
      <c r="M72" s="146" t="s">
        <v>81</v>
      </c>
    </row>
    <row r="73" spans="1:13">
      <c r="B73" s="29"/>
      <c r="C73" s="49" t="s">
        <v>667</v>
      </c>
      <c r="D73" s="50" t="s">
        <v>151</v>
      </c>
      <c r="E73" s="49" t="s">
        <v>667</v>
      </c>
      <c r="F73" s="50" t="s">
        <v>151</v>
      </c>
      <c r="H73" s="49" t="s">
        <v>667</v>
      </c>
      <c r="I73" s="50" t="s">
        <v>151</v>
      </c>
      <c r="J73" s="49" t="s">
        <v>667</v>
      </c>
      <c r="K73" s="50" t="s">
        <v>151</v>
      </c>
      <c r="L73" s="145" t="s">
        <v>667</v>
      </c>
      <c r="M73" s="146" t="s">
        <v>151</v>
      </c>
    </row>
    <row r="74" spans="1:13">
      <c r="B74" s="29" t="s">
        <v>985</v>
      </c>
      <c r="C74" s="49" t="s">
        <v>986</v>
      </c>
      <c r="D74" s="50" t="s">
        <v>171</v>
      </c>
      <c r="E74" s="49" t="s">
        <v>986</v>
      </c>
      <c r="F74" s="50" t="s">
        <v>171</v>
      </c>
      <c r="H74" s="49" t="s">
        <v>986</v>
      </c>
      <c r="I74" s="153" t="s">
        <v>1095</v>
      </c>
      <c r="J74" s="49" t="s">
        <v>986</v>
      </c>
      <c r="K74" s="153" t="s">
        <v>1095</v>
      </c>
      <c r="L74" s="145" t="s">
        <v>986</v>
      </c>
      <c r="M74" s="146" t="s">
        <v>171</v>
      </c>
    </row>
    <row r="75" spans="1:13" ht="15.75" thickBot="1">
      <c r="B75" s="29"/>
      <c r="C75" s="49" t="s">
        <v>667</v>
      </c>
      <c r="D75" s="50" t="s">
        <v>153</v>
      </c>
      <c r="E75" s="49" t="s">
        <v>667</v>
      </c>
      <c r="F75" s="50" t="s">
        <v>153</v>
      </c>
      <c r="H75" s="49" t="s">
        <v>667</v>
      </c>
      <c r="I75" s="50" t="s">
        <v>153</v>
      </c>
      <c r="J75" s="49" t="s">
        <v>667</v>
      </c>
      <c r="K75" s="50" t="s">
        <v>153</v>
      </c>
      <c r="L75" s="148" t="s">
        <v>667</v>
      </c>
      <c r="M75" s="149" t="s">
        <v>153</v>
      </c>
    </row>
    <row r="76" spans="1:13">
      <c r="A76" s="118"/>
      <c r="B76" s="119" t="s">
        <v>73</v>
      </c>
      <c r="C76" s="120" t="s">
        <v>74</v>
      </c>
      <c r="D76" s="121" t="s">
        <v>135</v>
      </c>
      <c r="E76" s="120" t="s">
        <v>74</v>
      </c>
      <c r="F76" s="121" t="s">
        <v>135</v>
      </c>
      <c r="H76" s="120" t="s">
        <v>74</v>
      </c>
      <c r="I76" s="121" t="s">
        <v>135</v>
      </c>
      <c r="J76" s="120" t="s">
        <v>74</v>
      </c>
      <c r="K76" s="121" t="s">
        <v>135</v>
      </c>
      <c r="L76" s="145" t="s">
        <v>74</v>
      </c>
      <c r="M76" s="146" t="s">
        <v>135</v>
      </c>
    </row>
    <row r="77" spans="1:13">
      <c r="A77" s="7"/>
      <c r="B77" s="29" t="s">
        <v>75</v>
      </c>
      <c r="C77" s="49" t="s">
        <v>76</v>
      </c>
      <c r="D77" s="50" t="s">
        <v>84</v>
      </c>
      <c r="E77" s="49" t="s">
        <v>76</v>
      </c>
      <c r="F77" s="50" t="s">
        <v>84</v>
      </c>
      <c r="H77" s="49" t="s">
        <v>76</v>
      </c>
      <c r="I77" s="50" t="s">
        <v>84</v>
      </c>
      <c r="J77" s="49" t="s">
        <v>76</v>
      </c>
      <c r="K77" s="50" t="s">
        <v>84</v>
      </c>
      <c r="L77" s="145" t="s">
        <v>76</v>
      </c>
      <c r="M77" s="146" t="s">
        <v>84</v>
      </c>
    </row>
    <row r="78" spans="1:13">
      <c r="A78" s="7"/>
      <c r="B78" s="29" t="s">
        <v>386</v>
      </c>
      <c r="C78" s="49" t="s">
        <v>271</v>
      </c>
      <c r="D78" s="50" t="s">
        <v>222</v>
      </c>
      <c r="E78" s="49" t="s">
        <v>271</v>
      </c>
      <c r="F78" s="50" t="s">
        <v>222</v>
      </c>
      <c r="H78" s="49" t="s">
        <v>271</v>
      </c>
      <c r="I78" s="50" t="s">
        <v>222</v>
      </c>
      <c r="J78" s="49" t="s">
        <v>271</v>
      </c>
      <c r="K78" s="50" t="s">
        <v>222</v>
      </c>
      <c r="L78" s="145" t="s">
        <v>271</v>
      </c>
      <c r="M78" s="146" t="s">
        <v>222</v>
      </c>
    </row>
    <row r="79" spans="1:13">
      <c r="A79" s="7"/>
      <c r="B79" s="29"/>
      <c r="C79" s="49" t="s">
        <v>667</v>
      </c>
      <c r="D79" s="50" t="s">
        <v>151</v>
      </c>
      <c r="E79" s="49" t="s">
        <v>667</v>
      </c>
      <c r="F79" s="50" t="s">
        <v>151</v>
      </c>
      <c r="H79" s="49" t="s">
        <v>667</v>
      </c>
      <c r="I79" s="50" t="s">
        <v>151</v>
      </c>
      <c r="J79" s="49" t="s">
        <v>667</v>
      </c>
      <c r="K79" s="50" t="s">
        <v>151</v>
      </c>
      <c r="L79" s="145" t="s">
        <v>667</v>
      </c>
      <c r="M79" s="146" t="s">
        <v>151</v>
      </c>
    </row>
    <row r="80" spans="1:13">
      <c r="A80" s="7"/>
      <c r="B80" s="29" t="s">
        <v>501</v>
      </c>
      <c r="C80" s="49" t="s">
        <v>486</v>
      </c>
      <c r="D80" s="50" t="s">
        <v>487</v>
      </c>
      <c r="E80" s="49" t="s">
        <v>486</v>
      </c>
      <c r="F80" s="50" t="s">
        <v>487</v>
      </c>
      <c r="H80" s="49" t="s">
        <v>486</v>
      </c>
      <c r="I80" s="50" t="s">
        <v>487</v>
      </c>
      <c r="J80" s="49" t="s">
        <v>486</v>
      </c>
      <c r="K80" s="50" t="s">
        <v>487</v>
      </c>
      <c r="L80" s="145" t="s">
        <v>486</v>
      </c>
      <c r="M80" s="146" t="s">
        <v>487</v>
      </c>
    </row>
    <row r="81" spans="1:13" ht="15.75" thickBot="1">
      <c r="A81" s="73"/>
      <c r="B81" s="69" t="s">
        <v>502</v>
      </c>
      <c r="C81" s="89" t="s">
        <v>884</v>
      </c>
      <c r="D81" s="92" t="s">
        <v>488</v>
      </c>
      <c r="E81" s="89" t="s">
        <v>884</v>
      </c>
      <c r="F81" s="92" t="s">
        <v>488</v>
      </c>
      <c r="H81" s="89" t="s">
        <v>884</v>
      </c>
      <c r="I81" s="92" t="s">
        <v>488</v>
      </c>
      <c r="J81" s="89" t="s">
        <v>884</v>
      </c>
      <c r="K81" s="92" t="s">
        <v>488</v>
      </c>
      <c r="L81" s="156" t="s">
        <v>884</v>
      </c>
      <c r="M81" s="157" t="s">
        <v>488</v>
      </c>
    </row>
    <row r="82" spans="1:13">
      <c r="A82" s="19"/>
      <c r="B82" s="67" t="s">
        <v>395</v>
      </c>
      <c r="C82" s="46" t="s">
        <v>302</v>
      </c>
      <c r="D82" s="91" t="s">
        <v>196</v>
      </c>
      <c r="E82" s="46" t="s">
        <v>302</v>
      </c>
      <c r="F82" s="91" t="s">
        <v>196</v>
      </c>
      <c r="H82" s="46" t="s">
        <v>302</v>
      </c>
      <c r="I82" s="91" t="s">
        <v>196</v>
      </c>
      <c r="J82" s="46" t="s">
        <v>302</v>
      </c>
      <c r="K82" s="91" t="s">
        <v>196</v>
      </c>
      <c r="L82" s="158" t="s">
        <v>302</v>
      </c>
      <c r="M82" s="159" t="s">
        <v>196</v>
      </c>
    </row>
    <row r="83" spans="1:13">
      <c r="A83" s="19"/>
      <c r="B83" s="67" t="s">
        <v>397</v>
      </c>
      <c r="C83" s="46" t="s">
        <v>396</v>
      </c>
      <c r="D83" s="91" t="s">
        <v>84</v>
      </c>
      <c r="E83" s="46" t="s">
        <v>396</v>
      </c>
      <c r="F83" s="91" t="s">
        <v>84</v>
      </c>
      <c r="H83" s="46" t="s">
        <v>396</v>
      </c>
      <c r="I83" s="91" t="s">
        <v>84</v>
      </c>
      <c r="J83" s="46" t="s">
        <v>396</v>
      </c>
      <c r="K83" s="91" t="s">
        <v>84</v>
      </c>
      <c r="L83" s="158" t="s">
        <v>396</v>
      </c>
      <c r="M83" s="159" t="s">
        <v>84</v>
      </c>
    </row>
    <row r="84" spans="1:13">
      <c r="A84" s="19"/>
      <c r="B84" s="67" t="s">
        <v>399</v>
      </c>
      <c r="C84" s="46" t="s">
        <v>398</v>
      </c>
      <c r="D84" s="91" t="s">
        <v>84</v>
      </c>
      <c r="E84" s="46" t="s">
        <v>398</v>
      </c>
      <c r="F84" s="91" t="s">
        <v>84</v>
      </c>
      <c r="H84" s="46" t="s">
        <v>398</v>
      </c>
      <c r="I84" s="91" t="s">
        <v>84</v>
      </c>
      <c r="J84" s="46" t="s">
        <v>398</v>
      </c>
      <c r="K84" s="91" t="s">
        <v>84</v>
      </c>
      <c r="L84" s="158" t="s">
        <v>398</v>
      </c>
      <c r="M84" s="159" t="s">
        <v>84</v>
      </c>
    </row>
    <row r="85" spans="1:13">
      <c r="A85" s="19"/>
      <c r="B85" s="67" t="s">
        <v>400</v>
      </c>
      <c r="C85" s="46" t="s">
        <v>623</v>
      </c>
      <c r="D85" s="91" t="s">
        <v>171</v>
      </c>
      <c r="E85" s="46" t="s">
        <v>623</v>
      </c>
      <c r="F85" s="91" t="s">
        <v>171</v>
      </c>
      <c r="H85" s="46" t="s">
        <v>623</v>
      </c>
      <c r="I85" s="91" t="s">
        <v>171</v>
      </c>
      <c r="J85" s="46" t="s">
        <v>623</v>
      </c>
      <c r="K85" s="91" t="s">
        <v>171</v>
      </c>
      <c r="L85" s="158" t="s">
        <v>623</v>
      </c>
      <c r="M85" s="159" t="s">
        <v>171</v>
      </c>
    </row>
    <row r="86" spans="1:13">
      <c r="A86" s="19"/>
      <c r="B86" s="67" t="s">
        <v>402</v>
      </c>
      <c r="C86" s="46" t="s">
        <v>885</v>
      </c>
      <c r="D86" s="91" t="s">
        <v>479</v>
      </c>
      <c r="E86" s="46" t="s">
        <v>885</v>
      </c>
      <c r="F86" s="91" t="s">
        <v>479</v>
      </c>
      <c r="H86" s="46" t="s">
        <v>885</v>
      </c>
      <c r="I86" s="91" t="s">
        <v>479</v>
      </c>
      <c r="J86" s="46" t="s">
        <v>885</v>
      </c>
      <c r="K86" s="91" t="s">
        <v>479</v>
      </c>
      <c r="L86" s="158" t="s">
        <v>885</v>
      </c>
      <c r="M86" s="159" t="s">
        <v>176</v>
      </c>
    </row>
    <row r="87" spans="1:13">
      <c r="A87" s="19"/>
      <c r="B87" s="67" t="s">
        <v>403</v>
      </c>
      <c r="C87" s="46" t="s">
        <v>886</v>
      </c>
      <c r="D87" s="91" t="s">
        <v>171</v>
      </c>
      <c r="E87" s="46" t="s">
        <v>886</v>
      </c>
      <c r="F87" s="91" t="s">
        <v>171</v>
      </c>
      <c r="H87" s="46" t="s">
        <v>886</v>
      </c>
      <c r="I87" s="91" t="s">
        <v>171</v>
      </c>
      <c r="J87" s="46" t="s">
        <v>886</v>
      </c>
      <c r="K87" s="91" t="s">
        <v>171</v>
      </c>
      <c r="L87" s="158" t="s">
        <v>886</v>
      </c>
      <c r="M87" s="159" t="s">
        <v>171</v>
      </c>
    </row>
    <row r="88" spans="1:13">
      <c r="A88" s="19"/>
      <c r="B88" s="68" t="s">
        <v>404</v>
      </c>
      <c r="C88" s="46" t="s">
        <v>887</v>
      </c>
      <c r="D88" s="91" t="s">
        <v>479</v>
      </c>
      <c r="E88" s="46" t="s">
        <v>887</v>
      </c>
      <c r="F88" s="91" t="s">
        <v>479</v>
      </c>
      <c r="H88" s="46" t="s">
        <v>887</v>
      </c>
      <c r="I88" s="91" t="s">
        <v>479</v>
      </c>
      <c r="J88" s="46" t="s">
        <v>887</v>
      </c>
      <c r="K88" s="91" t="s">
        <v>479</v>
      </c>
      <c r="L88" s="158" t="s">
        <v>887</v>
      </c>
      <c r="M88" s="159" t="s">
        <v>176</v>
      </c>
    </row>
    <row r="89" spans="1:13">
      <c r="A89" s="19"/>
      <c r="B89" s="68" t="s">
        <v>406</v>
      </c>
      <c r="C89" s="46" t="s">
        <v>405</v>
      </c>
      <c r="D89" s="91" t="s">
        <v>407</v>
      </c>
      <c r="E89" s="46" t="s">
        <v>405</v>
      </c>
      <c r="F89" s="91" t="s">
        <v>407</v>
      </c>
      <c r="H89" s="46" t="s">
        <v>405</v>
      </c>
      <c r="I89" s="91" t="s">
        <v>407</v>
      </c>
      <c r="J89" s="46" t="s">
        <v>405</v>
      </c>
      <c r="K89" s="91" t="s">
        <v>407</v>
      </c>
      <c r="L89" s="158" t="s">
        <v>405</v>
      </c>
      <c r="M89" s="159" t="s">
        <v>407</v>
      </c>
    </row>
    <row r="90" spans="1:13">
      <c r="A90" s="19"/>
      <c r="B90" s="68" t="s">
        <v>409</v>
      </c>
      <c r="C90" s="46" t="s">
        <v>408</v>
      </c>
      <c r="D90" s="91" t="s">
        <v>407</v>
      </c>
      <c r="E90" s="46" t="s">
        <v>408</v>
      </c>
      <c r="F90" s="91" t="s">
        <v>407</v>
      </c>
      <c r="H90" s="46" t="s">
        <v>408</v>
      </c>
      <c r="I90" s="91" t="s">
        <v>407</v>
      </c>
      <c r="J90" s="46" t="s">
        <v>408</v>
      </c>
      <c r="K90" s="91" t="s">
        <v>407</v>
      </c>
      <c r="L90" s="158" t="s">
        <v>408</v>
      </c>
      <c r="M90" s="159" t="s">
        <v>407</v>
      </c>
    </row>
    <row r="91" spans="1:13">
      <c r="A91" s="19"/>
      <c r="B91" s="68" t="s">
        <v>169</v>
      </c>
      <c r="C91" s="46" t="s">
        <v>170</v>
      </c>
      <c r="D91" s="91" t="s">
        <v>171</v>
      </c>
      <c r="E91" s="46" t="s">
        <v>170</v>
      </c>
      <c r="F91" s="91" t="s">
        <v>171</v>
      </c>
      <c r="H91" s="46" t="s">
        <v>170</v>
      </c>
      <c r="I91" s="91" t="s">
        <v>171</v>
      </c>
      <c r="J91" s="46" t="s">
        <v>170</v>
      </c>
      <c r="K91" s="91" t="s">
        <v>171</v>
      </c>
      <c r="L91" s="158" t="s">
        <v>170</v>
      </c>
      <c r="M91" s="159" t="s">
        <v>171</v>
      </c>
    </row>
    <row r="92" spans="1:13">
      <c r="A92" s="19"/>
      <c r="B92" s="68" t="s">
        <v>172</v>
      </c>
      <c r="C92" s="46" t="s">
        <v>173</v>
      </c>
      <c r="D92" s="91" t="s">
        <v>81</v>
      </c>
      <c r="E92" s="46" t="s">
        <v>173</v>
      </c>
      <c r="F92" s="91" t="s">
        <v>81</v>
      </c>
      <c r="H92" s="46" t="s">
        <v>173</v>
      </c>
      <c r="I92" s="91" t="s">
        <v>81</v>
      </c>
      <c r="J92" s="46" t="s">
        <v>173</v>
      </c>
      <c r="K92" s="91" t="s">
        <v>81</v>
      </c>
      <c r="L92" s="158" t="s">
        <v>173</v>
      </c>
      <c r="M92" s="159" t="s">
        <v>90</v>
      </c>
    </row>
    <row r="93" spans="1:13">
      <c r="A93" s="19"/>
      <c r="B93" s="68" t="s">
        <v>174</v>
      </c>
      <c r="C93" s="46" t="s">
        <v>888</v>
      </c>
      <c r="D93" s="91" t="s">
        <v>216</v>
      </c>
      <c r="E93" s="46" t="s">
        <v>888</v>
      </c>
      <c r="F93" s="91" t="s">
        <v>216</v>
      </c>
      <c r="H93" s="46" t="s">
        <v>888</v>
      </c>
      <c r="I93" s="91" t="s">
        <v>216</v>
      </c>
      <c r="J93" s="46" t="s">
        <v>888</v>
      </c>
      <c r="K93" s="91" t="s">
        <v>216</v>
      </c>
      <c r="L93" s="158" t="s">
        <v>888</v>
      </c>
      <c r="M93" s="159" t="s">
        <v>1096</v>
      </c>
    </row>
    <row r="94" spans="1:13">
      <c r="A94" s="19"/>
      <c r="B94" s="68" t="s">
        <v>175</v>
      </c>
      <c r="C94" s="46" t="s">
        <v>889</v>
      </c>
      <c r="D94" s="91" t="s">
        <v>1</v>
      </c>
      <c r="E94" s="46" t="s">
        <v>889</v>
      </c>
      <c r="F94" s="91" t="s">
        <v>1</v>
      </c>
      <c r="H94" s="46" t="s">
        <v>889</v>
      </c>
      <c r="I94" s="91" t="s">
        <v>1</v>
      </c>
      <c r="J94" s="46" t="s">
        <v>889</v>
      </c>
      <c r="K94" s="91" t="s">
        <v>1</v>
      </c>
      <c r="L94" s="158" t="s">
        <v>889</v>
      </c>
      <c r="M94" s="159" t="s">
        <v>1</v>
      </c>
    </row>
    <row r="95" spans="1:13">
      <c r="A95" s="19"/>
      <c r="B95" s="68" t="s">
        <v>177</v>
      </c>
      <c r="C95" s="46" t="s">
        <v>178</v>
      </c>
      <c r="D95" s="91" t="s">
        <v>87</v>
      </c>
      <c r="E95" s="46" t="s">
        <v>178</v>
      </c>
      <c r="F95" s="91" t="s">
        <v>87</v>
      </c>
      <c r="H95" s="46" t="s">
        <v>178</v>
      </c>
      <c r="I95" s="91" t="s">
        <v>87</v>
      </c>
      <c r="J95" s="46" t="s">
        <v>178</v>
      </c>
      <c r="K95" s="91" t="s">
        <v>87</v>
      </c>
      <c r="L95" s="158" t="s">
        <v>178</v>
      </c>
      <c r="M95" s="159" t="s">
        <v>1097</v>
      </c>
    </row>
    <row r="96" spans="1:13">
      <c r="A96" s="19"/>
      <c r="B96" s="68" t="s">
        <v>410</v>
      </c>
      <c r="C96" s="46" t="s">
        <v>96</v>
      </c>
      <c r="D96" s="91" t="s">
        <v>84</v>
      </c>
      <c r="E96" s="46" t="s">
        <v>96</v>
      </c>
      <c r="F96" s="91" t="s">
        <v>84</v>
      </c>
      <c r="H96" s="46" t="s">
        <v>96</v>
      </c>
      <c r="I96" s="91" t="s">
        <v>84</v>
      </c>
      <c r="J96" s="46" t="s">
        <v>96</v>
      </c>
      <c r="K96" s="91" t="s">
        <v>84</v>
      </c>
      <c r="L96" s="158" t="s">
        <v>96</v>
      </c>
      <c r="M96" s="159" t="s">
        <v>84</v>
      </c>
    </row>
    <row r="97" spans="1:13">
      <c r="A97" s="19"/>
      <c r="B97" s="68" t="s">
        <v>412</v>
      </c>
      <c r="C97" s="46" t="s">
        <v>53</v>
      </c>
      <c r="D97" s="91" t="s">
        <v>84</v>
      </c>
      <c r="E97" s="46" t="s">
        <v>53</v>
      </c>
      <c r="F97" s="91" t="s">
        <v>84</v>
      </c>
      <c r="H97" s="46" t="s">
        <v>53</v>
      </c>
      <c r="I97" s="91" t="s">
        <v>84</v>
      </c>
      <c r="J97" s="46" t="s">
        <v>53</v>
      </c>
      <c r="K97" s="91" t="s">
        <v>84</v>
      </c>
      <c r="L97" s="158" t="s">
        <v>53</v>
      </c>
      <c r="M97" s="159" t="s">
        <v>84</v>
      </c>
    </row>
    <row r="98" spans="1:13">
      <c r="A98" s="19"/>
      <c r="B98" s="68" t="s">
        <v>608</v>
      </c>
      <c r="C98" s="46" t="s">
        <v>607</v>
      </c>
      <c r="D98" s="91" t="s">
        <v>84</v>
      </c>
      <c r="E98" s="46" t="s">
        <v>607</v>
      </c>
      <c r="F98" s="91" t="s">
        <v>84</v>
      </c>
      <c r="H98" s="46" t="s">
        <v>607</v>
      </c>
      <c r="I98" s="91" t="s">
        <v>84</v>
      </c>
      <c r="J98" s="46" t="s">
        <v>607</v>
      </c>
      <c r="K98" s="91" t="s">
        <v>84</v>
      </c>
      <c r="L98" s="158" t="s">
        <v>607</v>
      </c>
      <c r="M98" s="159" t="s">
        <v>84</v>
      </c>
    </row>
    <row r="99" spans="1:13">
      <c r="A99" s="19"/>
      <c r="B99" s="68" t="s">
        <v>610</v>
      </c>
      <c r="C99" s="46" t="s">
        <v>966</v>
      </c>
      <c r="D99" s="91" t="s">
        <v>84</v>
      </c>
      <c r="E99" s="46" t="s">
        <v>966</v>
      </c>
      <c r="F99" s="91" t="s">
        <v>84</v>
      </c>
      <c r="H99" s="46" t="s">
        <v>966</v>
      </c>
      <c r="I99" s="91" t="s">
        <v>84</v>
      </c>
      <c r="J99" s="46" t="s">
        <v>966</v>
      </c>
      <c r="K99" s="91" t="s">
        <v>84</v>
      </c>
      <c r="L99" s="158" t="s">
        <v>966</v>
      </c>
      <c r="M99" s="159" t="s">
        <v>84</v>
      </c>
    </row>
    <row r="100" spans="1:13">
      <c r="A100" s="19"/>
      <c r="B100" s="68" t="s">
        <v>316</v>
      </c>
      <c r="C100" s="46" t="s">
        <v>315</v>
      </c>
      <c r="D100" s="91" t="s">
        <v>110</v>
      </c>
      <c r="E100" s="46" t="s">
        <v>315</v>
      </c>
      <c r="F100" s="91" t="s">
        <v>110</v>
      </c>
      <c r="H100" s="46" t="s">
        <v>315</v>
      </c>
      <c r="I100" s="91" t="s">
        <v>110</v>
      </c>
      <c r="J100" s="46" t="s">
        <v>315</v>
      </c>
      <c r="K100" s="91" t="s">
        <v>110</v>
      </c>
      <c r="L100" s="158" t="s">
        <v>315</v>
      </c>
      <c r="M100" s="159" t="s">
        <v>110</v>
      </c>
    </row>
    <row r="101" spans="1:13">
      <c r="A101" s="19"/>
      <c r="B101" s="68" t="s">
        <v>318</v>
      </c>
      <c r="C101" s="46" t="s">
        <v>317</v>
      </c>
      <c r="D101" s="91" t="s">
        <v>110</v>
      </c>
      <c r="E101" s="46" t="s">
        <v>317</v>
      </c>
      <c r="F101" s="91" t="s">
        <v>110</v>
      </c>
      <c r="H101" s="46" t="s">
        <v>317</v>
      </c>
      <c r="I101" s="91" t="s">
        <v>110</v>
      </c>
      <c r="J101" s="46" t="s">
        <v>317</v>
      </c>
      <c r="K101" s="91" t="s">
        <v>110</v>
      </c>
      <c r="L101" s="158" t="s">
        <v>317</v>
      </c>
      <c r="M101" s="159" t="s">
        <v>110</v>
      </c>
    </row>
    <row r="102" spans="1:13">
      <c r="A102" s="19"/>
      <c r="B102" s="68" t="s">
        <v>320</v>
      </c>
      <c r="C102" s="46" t="s">
        <v>319</v>
      </c>
      <c r="D102" s="91" t="s">
        <v>110</v>
      </c>
      <c r="E102" s="46" t="s">
        <v>319</v>
      </c>
      <c r="F102" s="91" t="s">
        <v>110</v>
      </c>
      <c r="H102" s="46" t="s">
        <v>319</v>
      </c>
      <c r="I102" s="91" t="s">
        <v>110</v>
      </c>
      <c r="J102" s="46" t="s">
        <v>319</v>
      </c>
      <c r="K102" s="91" t="s">
        <v>110</v>
      </c>
      <c r="L102" s="158" t="s">
        <v>319</v>
      </c>
      <c r="M102" s="159" t="s">
        <v>110</v>
      </c>
    </row>
    <row r="103" spans="1:13">
      <c r="A103" s="19"/>
      <c r="B103" s="68" t="s">
        <v>322</v>
      </c>
      <c r="C103" s="46" t="s">
        <v>321</v>
      </c>
      <c r="D103" s="91" t="s">
        <v>110</v>
      </c>
      <c r="E103" s="46" t="s">
        <v>321</v>
      </c>
      <c r="F103" s="91" t="s">
        <v>110</v>
      </c>
      <c r="H103" s="46" t="s">
        <v>321</v>
      </c>
      <c r="I103" s="91" t="s">
        <v>110</v>
      </c>
      <c r="J103" s="46" t="s">
        <v>321</v>
      </c>
      <c r="K103" s="91" t="s">
        <v>110</v>
      </c>
      <c r="L103" s="158" t="s">
        <v>321</v>
      </c>
      <c r="M103" s="159" t="s">
        <v>110</v>
      </c>
    </row>
    <row r="104" spans="1:13">
      <c r="A104" s="19"/>
      <c r="B104" s="68" t="s">
        <v>324</v>
      </c>
      <c r="C104" s="46" t="s">
        <v>323</v>
      </c>
      <c r="D104" s="91" t="s">
        <v>325</v>
      </c>
      <c r="E104" s="46" t="s">
        <v>323</v>
      </c>
      <c r="F104" s="91" t="s">
        <v>325</v>
      </c>
      <c r="H104" s="46" t="s">
        <v>323</v>
      </c>
      <c r="I104" s="91" t="s">
        <v>325</v>
      </c>
      <c r="J104" s="46" t="s">
        <v>323</v>
      </c>
      <c r="K104" s="91" t="s">
        <v>325</v>
      </c>
      <c r="L104" s="158" t="s">
        <v>323</v>
      </c>
      <c r="M104" s="159" t="s">
        <v>325</v>
      </c>
    </row>
    <row r="105" spans="1:13">
      <c r="A105" s="19"/>
      <c r="B105" s="68" t="s">
        <v>326</v>
      </c>
      <c r="C105" s="46" t="s">
        <v>967</v>
      </c>
      <c r="D105" s="91" t="s">
        <v>325</v>
      </c>
      <c r="E105" s="46" t="s">
        <v>967</v>
      </c>
      <c r="F105" s="91" t="s">
        <v>325</v>
      </c>
      <c r="H105" s="46" t="s">
        <v>967</v>
      </c>
      <c r="I105" s="91" t="s">
        <v>325</v>
      </c>
      <c r="J105" s="46" t="s">
        <v>967</v>
      </c>
      <c r="K105" s="91" t="s">
        <v>325</v>
      </c>
      <c r="L105" s="158" t="s">
        <v>967</v>
      </c>
      <c r="M105" s="159" t="s">
        <v>325</v>
      </c>
    </row>
    <row r="106" spans="1:13">
      <c r="A106" s="19"/>
      <c r="B106" s="68" t="s">
        <v>328</v>
      </c>
      <c r="C106" s="46" t="s">
        <v>327</v>
      </c>
      <c r="D106" s="91" t="s">
        <v>110</v>
      </c>
      <c r="E106" s="46" t="s">
        <v>327</v>
      </c>
      <c r="F106" s="91" t="s">
        <v>110</v>
      </c>
      <c r="H106" s="46" t="s">
        <v>327</v>
      </c>
      <c r="I106" s="91" t="s">
        <v>110</v>
      </c>
      <c r="J106" s="46" t="s">
        <v>327</v>
      </c>
      <c r="K106" s="91" t="s">
        <v>110</v>
      </c>
      <c r="L106" s="158" t="s">
        <v>327</v>
      </c>
      <c r="M106" s="159" t="s">
        <v>110</v>
      </c>
    </row>
    <row r="107" spans="1:13">
      <c r="A107" s="19"/>
      <c r="B107" s="68" t="s">
        <v>330</v>
      </c>
      <c r="C107" s="46" t="s">
        <v>329</v>
      </c>
      <c r="D107" s="91" t="s">
        <v>325</v>
      </c>
      <c r="E107" s="46" t="s">
        <v>329</v>
      </c>
      <c r="F107" s="91" t="s">
        <v>325</v>
      </c>
      <c r="H107" s="46" t="s">
        <v>329</v>
      </c>
      <c r="I107" s="91" t="s">
        <v>325</v>
      </c>
      <c r="J107" s="46" t="s">
        <v>329</v>
      </c>
      <c r="K107" s="91" t="s">
        <v>325</v>
      </c>
      <c r="L107" s="158" t="s">
        <v>329</v>
      </c>
      <c r="M107" s="159" t="s">
        <v>325</v>
      </c>
    </row>
    <row r="108" spans="1:13">
      <c r="A108" s="19"/>
      <c r="B108" s="68" t="s">
        <v>331</v>
      </c>
      <c r="C108" s="46" t="s">
        <v>968</v>
      </c>
      <c r="D108" s="91" t="s">
        <v>325</v>
      </c>
      <c r="E108" s="46" t="s">
        <v>968</v>
      </c>
      <c r="F108" s="91" t="s">
        <v>325</v>
      </c>
      <c r="H108" s="46" t="s">
        <v>968</v>
      </c>
      <c r="I108" s="91" t="s">
        <v>325</v>
      </c>
      <c r="J108" s="46" t="s">
        <v>968</v>
      </c>
      <c r="K108" s="91" t="s">
        <v>325</v>
      </c>
      <c r="L108" s="158" t="s">
        <v>968</v>
      </c>
      <c r="M108" s="159" t="s">
        <v>325</v>
      </c>
    </row>
    <row r="109" spans="1:13">
      <c r="A109" s="19"/>
      <c r="B109" s="68" t="s">
        <v>181</v>
      </c>
      <c r="C109" s="46" t="s">
        <v>182</v>
      </c>
      <c r="D109" s="91" t="s">
        <v>84</v>
      </c>
      <c r="E109" s="46" t="s">
        <v>182</v>
      </c>
      <c r="F109" s="91" t="s">
        <v>84</v>
      </c>
      <c r="H109" s="46" t="s">
        <v>182</v>
      </c>
      <c r="I109" s="91" t="s">
        <v>84</v>
      </c>
      <c r="J109" s="46" t="s">
        <v>182</v>
      </c>
      <c r="K109" s="91" t="s">
        <v>84</v>
      </c>
      <c r="L109" s="158" t="s">
        <v>182</v>
      </c>
      <c r="M109" s="159" t="s">
        <v>84</v>
      </c>
    </row>
    <row r="110" spans="1:13">
      <c r="A110" s="19"/>
      <c r="B110" s="68" t="s">
        <v>183</v>
      </c>
      <c r="C110" s="46" t="s">
        <v>184</v>
      </c>
      <c r="D110" s="91" t="s">
        <v>1</v>
      </c>
      <c r="E110" s="46" t="s">
        <v>184</v>
      </c>
      <c r="F110" s="91" t="s">
        <v>1</v>
      </c>
      <c r="H110" s="46" t="s">
        <v>184</v>
      </c>
      <c r="I110" s="91" t="s">
        <v>1</v>
      </c>
      <c r="J110" s="46" t="s">
        <v>184</v>
      </c>
      <c r="K110" s="91" t="s">
        <v>1</v>
      </c>
      <c r="L110" s="158" t="s">
        <v>184</v>
      </c>
      <c r="M110" s="159" t="s">
        <v>1</v>
      </c>
    </row>
    <row r="111" spans="1:13">
      <c r="A111" s="19"/>
      <c r="B111" s="68" t="s">
        <v>427</v>
      </c>
      <c r="C111" s="46" t="s">
        <v>426</v>
      </c>
      <c r="D111" s="91" t="s">
        <v>253</v>
      </c>
      <c r="E111" s="46" t="s">
        <v>426</v>
      </c>
      <c r="F111" s="91" t="s">
        <v>253</v>
      </c>
      <c r="H111" s="46" t="s">
        <v>426</v>
      </c>
      <c r="I111" s="91" t="s">
        <v>253</v>
      </c>
      <c r="J111" s="46" t="s">
        <v>426</v>
      </c>
      <c r="K111" s="91" t="s">
        <v>253</v>
      </c>
      <c r="L111" s="158" t="s">
        <v>426</v>
      </c>
      <c r="M111" s="159" t="s">
        <v>106</v>
      </c>
    </row>
    <row r="112" spans="1:13">
      <c r="A112" s="19"/>
      <c r="B112" s="68" t="s">
        <v>189</v>
      </c>
      <c r="C112" s="46" t="s">
        <v>190</v>
      </c>
      <c r="D112" s="91" t="s">
        <v>1</v>
      </c>
      <c r="E112" s="46" t="s">
        <v>190</v>
      </c>
      <c r="F112" s="91" t="s">
        <v>1</v>
      </c>
      <c r="H112" s="46" t="s">
        <v>190</v>
      </c>
      <c r="I112" s="91" t="s">
        <v>1</v>
      </c>
      <c r="J112" s="46" t="s">
        <v>190</v>
      </c>
      <c r="K112" s="91" t="s">
        <v>1</v>
      </c>
      <c r="L112" s="158" t="s">
        <v>190</v>
      </c>
      <c r="M112" s="159" t="s">
        <v>135</v>
      </c>
    </row>
    <row r="113" spans="1:13">
      <c r="A113" s="19"/>
      <c r="B113" s="68" t="s">
        <v>191</v>
      </c>
      <c r="C113" s="46" t="s">
        <v>192</v>
      </c>
      <c r="D113" s="91" t="s">
        <v>1</v>
      </c>
      <c r="E113" s="46" t="s">
        <v>192</v>
      </c>
      <c r="F113" s="91" t="s">
        <v>1</v>
      </c>
      <c r="H113" s="46" t="s">
        <v>192</v>
      </c>
      <c r="I113" s="91" t="s">
        <v>1</v>
      </c>
      <c r="J113" s="46" t="s">
        <v>192</v>
      </c>
      <c r="K113" s="91" t="s">
        <v>1</v>
      </c>
      <c r="L113" s="158" t="s">
        <v>192</v>
      </c>
      <c r="M113" s="159" t="s">
        <v>84</v>
      </c>
    </row>
    <row r="114" spans="1:13">
      <c r="A114" s="19"/>
      <c r="B114" s="68" t="s">
        <v>200</v>
      </c>
      <c r="C114" s="46" t="s">
        <v>201</v>
      </c>
      <c r="D114" s="91" t="s">
        <v>202</v>
      </c>
      <c r="E114" s="46" t="s">
        <v>201</v>
      </c>
      <c r="F114" s="91" t="s">
        <v>202</v>
      </c>
      <c r="H114" s="46" t="s">
        <v>201</v>
      </c>
      <c r="I114" s="91" t="s">
        <v>202</v>
      </c>
      <c r="J114" s="46" t="s">
        <v>201</v>
      </c>
      <c r="K114" s="91" t="s">
        <v>202</v>
      </c>
      <c r="L114" s="158" t="s">
        <v>201</v>
      </c>
      <c r="M114" s="159" t="s">
        <v>202</v>
      </c>
    </row>
    <row r="115" spans="1:13">
      <c r="A115" s="19"/>
      <c r="B115" s="68" t="s">
        <v>577</v>
      </c>
      <c r="C115" s="46" t="s">
        <v>595</v>
      </c>
      <c r="D115" s="91" t="s">
        <v>157</v>
      </c>
      <c r="E115" s="46" t="s">
        <v>595</v>
      </c>
      <c r="F115" s="91" t="s">
        <v>157</v>
      </c>
      <c r="H115" s="46" t="s">
        <v>595</v>
      </c>
      <c r="I115" s="91" t="s">
        <v>157</v>
      </c>
      <c r="J115" s="46" t="s">
        <v>595</v>
      </c>
      <c r="K115" s="91" t="s">
        <v>157</v>
      </c>
      <c r="L115" s="158" t="s">
        <v>595</v>
      </c>
      <c r="M115" s="159" t="s">
        <v>137</v>
      </c>
    </row>
    <row r="116" spans="1:13">
      <c r="A116" s="19"/>
      <c r="B116" s="68" t="s">
        <v>578</v>
      </c>
      <c r="C116" s="46" t="s">
        <v>596</v>
      </c>
      <c r="D116" s="91" t="s">
        <v>157</v>
      </c>
      <c r="E116" s="46" t="s">
        <v>596</v>
      </c>
      <c r="F116" s="91" t="s">
        <v>157</v>
      </c>
      <c r="H116" s="46" t="s">
        <v>596</v>
      </c>
      <c r="I116" s="91" t="s">
        <v>157</v>
      </c>
      <c r="J116" s="46" t="s">
        <v>596</v>
      </c>
      <c r="K116" s="91" t="s">
        <v>157</v>
      </c>
      <c r="L116" s="158" t="s">
        <v>596</v>
      </c>
      <c r="M116" s="159" t="s">
        <v>137</v>
      </c>
    </row>
    <row r="117" spans="1:13">
      <c r="A117" s="19"/>
      <c r="B117" s="68" t="s">
        <v>431</v>
      </c>
      <c r="C117" s="46" t="s">
        <v>430</v>
      </c>
      <c r="D117" s="91" t="s">
        <v>432</v>
      </c>
      <c r="E117" s="46" t="s">
        <v>430</v>
      </c>
      <c r="F117" s="91" t="s">
        <v>432</v>
      </c>
      <c r="H117" s="46" t="s">
        <v>430</v>
      </c>
      <c r="I117" s="91" t="s">
        <v>432</v>
      </c>
      <c r="J117" s="46" t="s">
        <v>430</v>
      </c>
      <c r="K117" s="91" t="s">
        <v>432</v>
      </c>
      <c r="L117" s="158" t="s">
        <v>430</v>
      </c>
      <c r="M117" s="159" t="s">
        <v>432</v>
      </c>
    </row>
    <row r="118" spans="1:13">
      <c r="A118" s="19"/>
      <c r="B118" s="68" t="s">
        <v>434</v>
      </c>
      <c r="C118" s="46" t="s">
        <v>433</v>
      </c>
      <c r="D118" s="91" t="s">
        <v>435</v>
      </c>
      <c r="E118" s="46" t="s">
        <v>433</v>
      </c>
      <c r="F118" s="91" t="s">
        <v>435</v>
      </c>
      <c r="H118" s="46" t="s">
        <v>433</v>
      </c>
      <c r="I118" s="91" t="s">
        <v>435</v>
      </c>
      <c r="J118" s="46" t="s">
        <v>433</v>
      </c>
      <c r="K118" s="91" t="s">
        <v>435</v>
      </c>
      <c r="L118" s="158" t="s">
        <v>433</v>
      </c>
      <c r="M118" s="159" t="s">
        <v>435</v>
      </c>
    </row>
    <row r="119" spans="1:13">
      <c r="A119" s="19"/>
      <c r="B119" s="68" t="s">
        <v>436</v>
      </c>
      <c r="C119" s="46" t="s">
        <v>493</v>
      </c>
      <c r="D119" s="91" t="s">
        <v>480</v>
      </c>
      <c r="E119" s="46" t="s">
        <v>493</v>
      </c>
      <c r="F119" s="91" t="s">
        <v>480</v>
      </c>
      <c r="H119" s="46" t="s">
        <v>493</v>
      </c>
      <c r="I119" s="91" t="s">
        <v>480</v>
      </c>
      <c r="J119" s="46" t="s">
        <v>493</v>
      </c>
      <c r="K119" s="91" t="s">
        <v>480</v>
      </c>
      <c r="L119" s="158" t="s">
        <v>493</v>
      </c>
      <c r="M119" s="159" t="s">
        <v>1098</v>
      </c>
    </row>
    <row r="120" spans="1:13">
      <c r="A120" s="19"/>
      <c r="B120" s="68" t="s">
        <v>438</v>
      </c>
      <c r="C120" s="46" t="s">
        <v>437</v>
      </c>
      <c r="D120" s="91" t="s">
        <v>481</v>
      </c>
      <c r="E120" s="46" t="s">
        <v>437</v>
      </c>
      <c r="F120" s="91" t="s">
        <v>481</v>
      </c>
      <c r="H120" s="46" t="s">
        <v>437</v>
      </c>
      <c r="I120" s="91" t="s">
        <v>481</v>
      </c>
      <c r="J120" s="46" t="s">
        <v>437</v>
      </c>
      <c r="K120" s="91" t="s">
        <v>481</v>
      </c>
      <c r="L120" s="158" t="s">
        <v>437</v>
      </c>
      <c r="M120" s="159" t="s">
        <v>1099</v>
      </c>
    </row>
    <row r="121" spans="1:13">
      <c r="A121" s="19"/>
      <c r="B121" s="68" t="s">
        <v>439</v>
      </c>
      <c r="C121" s="46" t="s">
        <v>225</v>
      </c>
      <c r="D121" s="91" t="s">
        <v>135</v>
      </c>
      <c r="E121" s="46" t="s">
        <v>225</v>
      </c>
      <c r="F121" s="91" t="s">
        <v>135</v>
      </c>
      <c r="H121" s="46" t="s">
        <v>225</v>
      </c>
      <c r="I121" s="91" t="s">
        <v>135</v>
      </c>
      <c r="J121" s="46" t="s">
        <v>225</v>
      </c>
      <c r="K121" s="91" t="s">
        <v>135</v>
      </c>
      <c r="L121" s="158" t="s">
        <v>225</v>
      </c>
      <c r="M121" s="159" t="s">
        <v>135</v>
      </c>
    </row>
    <row r="122" spans="1:13">
      <c r="A122" s="19"/>
      <c r="B122" s="68" t="s">
        <v>207</v>
      </c>
      <c r="C122" s="46" t="s">
        <v>208</v>
      </c>
      <c r="D122" s="91" t="s">
        <v>84</v>
      </c>
      <c r="E122" s="46" t="s">
        <v>208</v>
      </c>
      <c r="F122" s="91" t="s">
        <v>84</v>
      </c>
      <c r="H122" s="46" t="s">
        <v>208</v>
      </c>
      <c r="I122" s="91" t="s">
        <v>84</v>
      </c>
      <c r="J122" s="46" t="s">
        <v>208</v>
      </c>
      <c r="K122" s="91" t="s">
        <v>84</v>
      </c>
      <c r="L122" s="158" t="s">
        <v>208</v>
      </c>
      <c r="M122" s="159" t="s">
        <v>1</v>
      </c>
    </row>
    <row r="123" spans="1:13">
      <c r="A123" s="19"/>
      <c r="B123" s="68" t="s">
        <v>345</v>
      </c>
      <c r="C123" s="46" t="s">
        <v>344</v>
      </c>
      <c r="D123" s="91" t="s">
        <v>346</v>
      </c>
      <c r="E123" s="46" t="s">
        <v>344</v>
      </c>
      <c r="F123" s="91" t="s">
        <v>346</v>
      </c>
      <c r="H123" s="46" t="s">
        <v>344</v>
      </c>
      <c r="I123" s="91" t="s">
        <v>346</v>
      </c>
      <c r="J123" s="46" t="s">
        <v>344</v>
      </c>
      <c r="K123" s="91" t="s">
        <v>346</v>
      </c>
      <c r="L123" s="158" t="s">
        <v>344</v>
      </c>
      <c r="M123" s="159" t="s">
        <v>346</v>
      </c>
    </row>
    <row r="124" spans="1:13">
      <c r="A124" s="19"/>
      <c r="B124" s="68" t="s">
        <v>273</v>
      </c>
      <c r="C124" s="46" t="s">
        <v>274</v>
      </c>
      <c r="D124" s="91" t="s">
        <v>84</v>
      </c>
      <c r="E124" s="46" t="s">
        <v>274</v>
      </c>
      <c r="F124" s="91" t="s">
        <v>84</v>
      </c>
      <c r="H124" s="46" t="s">
        <v>274</v>
      </c>
      <c r="I124" s="91" t="s">
        <v>84</v>
      </c>
      <c r="J124" s="46" t="s">
        <v>274</v>
      </c>
      <c r="K124" s="91" t="s">
        <v>84</v>
      </c>
      <c r="L124" s="158" t="s">
        <v>274</v>
      </c>
      <c r="M124" s="159" t="s">
        <v>84</v>
      </c>
    </row>
    <row r="125" spans="1:13">
      <c r="A125" s="19"/>
      <c r="B125" s="68" t="s">
        <v>275</v>
      </c>
      <c r="C125" s="46" t="s">
        <v>276</v>
      </c>
      <c r="D125" s="91" t="s">
        <v>84</v>
      </c>
      <c r="E125" s="46" t="s">
        <v>276</v>
      </c>
      <c r="F125" s="91" t="s">
        <v>84</v>
      </c>
      <c r="H125" s="46" t="s">
        <v>276</v>
      </c>
      <c r="I125" s="91" t="s">
        <v>84</v>
      </c>
      <c r="J125" s="46" t="s">
        <v>276</v>
      </c>
      <c r="K125" s="91" t="s">
        <v>84</v>
      </c>
      <c r="L125" s="158" t="s">
        <v>276</v>
      </c>
      <c r="M125" s="159" t="s">
        <v>84</v>
      </c>
    </row>
    <row r="126" spans="1:13">
      <c r="A126" s="19"/>
      <c r="B126" s="68" t="s">
        <v>277</v>
      </c>
      <c r="C126" s="46" t="s">
        <v>970</v>
      </c>
      <c r="D126" s="91" t="s">
        <v>84</v>
      </c>
      <c r="E126" s="46" t="s">
        <v>970</v>
      </c>
      <c r="F126" s="91" t="s">
        <v>84</v>
      </c>
      <c r="H126" s="46" t="s">
        <v>970</v>
      </c>
      <c r="I126" s="91" t="s">
        <v>84</v>
      </c>
      <c r="J126" s="46" t="s">
        <v>970</v>
      </c>
      <c r="K126" s="91" t="s">
        <v>84</v>
      </c>
      <c r="L126" s="158" t="s">
        <v>970</v>
      </c>
      <c r="M126" s="159" t="s">
        <v>84</v>
      </c>
    </row>
    <row r="127" spans="1:13">
      <c r="A127" s="19"/>
      <c r="B127" s="68" t="s">
        <v>643</v>
      </c>
      <c r="C127" s="46" t="s">
        <v>971</v>
      </c>
      <c r="D127" s="91" t="s">
        <v>135</v>
      </c>
      <c r="E127" s="46" t="s">
        <v>971</v>
      </c>
      <c r="F127" s="91" t="s">
        <v>135</v>
      </c>
      <c r="H127" s="46" t="s">
        <v>971</v>
      </c>
      <c r="I127" s="91" t="s">
        <v>135</v>
      </c>
      <c r="J127" s="46" t="s">
        <v>971</v>
      </c>
      <c r="K127" s="91" t="s">
        <v>135</v>
      </c>
      <c r="L127" s="158" t="s">
        <v>971</v>
      </c>
      <c r="M127" s="159" t="s">
        <v>135</v>
      </c>
    </row>
    <row r="128" spans="1:13">
      <c r="A128" s="19"/>
      <c r="B128" s="68" t="s">
        <v>512</v>
      </c>
      <c r="C128" s="46" t="s">
        <v>624</v>
      </c>
      <c r="D128" s="91" t="s">
        <v>1</v>
      </c>
      <c r="E128" s="46" t="s">
        <v>624</v>
      </c>
      <c r="F128" s="91" t="s">
        <v>1</v>
      </c>
      <c r="H128" s="46" t="s">
        <v>624</v>
      </c>
      <c r="I128" s="91" t="s">
        <v>1</v>
      </c>
      <c r="J128" s="46" t="s">
        <v>624</v>
      </c>
      <c r="K128" s="91" t="s">
        <v>1</v>
      </c>
      <c r="L128" s="158" t="s">
        <v>624</v>
      </c>
      <c r="M128" s="159" t="s">
        <v>135</v>
      </c>
    </row>
    <row r="129" spans="1:13">
      <c r="A129" s="19"/>
      <c r="B129" s="68" t="s">
        <v>580</v>
      </c>
      <c r="C129" s="46" t="s">
        <v>908</v>
      </c>
      <c r="D129" s="91" t="s">
        <v>482</v>
      </c>
      <c r="E129" s="46" t="s">
        <v>908</v>
      </c>
      <c r="F129" s="91" t="s">
        <v>482</v>
      </c>
      <c r="H129" s="46" t="s">
        <v>908</v>
      </c>
      <c r="I129" s="91" t="s">
        <v>482</v>
      </c>
      <c r="J129" s="46" t="s">
        <v>908</v>
      </c>
      <c r="K129" s="91" t="s">
        <v>482</v>
      </c>
      <c r="L129" s="158" t="s">
        <v>908</v>
      </c>
      <c r="M129" s="159" t="s">
        <v>1100</v>
      </c>
    </row>
    <row r="130" spans="1:13">
      <c r="A130" s="19"/>
      <c r="B130" s="68" t="s">
        <v>581</v>
      </c>
      <c r="C130" s="46" t="s">
        <v>909</v>
      </c>
      <c r="D130" s="91" t="s">
        <v>90</v>
      </c>
      <c r="E130" s="46" t="s">
        <v>909</v>
      </c>
      <c r="F130" s="91" t="s">
        <v>90</v>
      </c>
      <c r="H130" s="46" t="s">
        <v>909</v>
      </c>
      <c r="I130" s="91" t="s">
        <v>90</v>
      </c>
      <c r="J130" s="46" t="s">
        <v>909</v>
      </c>
      <c r="K130" s="91" t="s">
        <v>90</v>
      </c>
      <c r="L130" s="158" t="s">
        <v>909</v>
      </c>
      <c r="M130" s="159" t="s">
        <v>81</v>
      </c>
    </row>
    <row r="131" spans="1:13">
      <c r="A131" s="19"/>
      <c r="B131" s="68" t="s">
        <v>513</v>
      </c>
      <c r="C131" s="46" t="s">
        <v>910</v>
      </c>
      <c r="D131" s="91" t="s">
        <v>84</v>
      </c>
      <c r="E131" s="46" t="s">
        <v>910</v>
      </c>
      <c r="F131" s="91" t="s">
        <v>84</v>
      </c>
      <c r="H131" s="46" t="s">
        <v>910</v>
      </c>
      <c r="I131" s="91" t="s">
        <v>84</v>
      </c>
      <c r="J131" s="46" t="s">
        <v>910</v>
      </c>
      <c r="K131" s="91" t="s">
        <v>84</v>
      </c>
      <c r="L131" s="158" t="s">
        <v>910</v>
      </c>
      <c r="M131" s="159" t="s">
        <v>482</v>
      </c>
    </row>
    <row r="132" spans="1:13">
      <c r="A132" s="19"/>
      <c r="B132" s="68" t="s">
        <v>583</v>
      </c>
      <c r="C132" s="46" t="s">
        <v>597</v>
      </c>
      <c r="D132" s="91" t="s">
        <v>445</v>
      </c>
      <c r="E132" s="46" t="s">
        <v>597</v>
      </c>
      <c r="F132" s="91" t="s">
        <v>445</v>
      </c>
      <c r="H132" s="46" t="s">
        <v>597</v>
      </c>
      <c r="I132" s="91" t="s">
        <v>445</v>
      </c>
      <c r="J132" s="46" t="s">
        <v>597</v>
      </c>
      <c r="K132" s="91" t="s">
        <v>445</v>
      </c>
      <c r="L132" s="158" t="s">
        <v>597</v>
      </c>
      <c r="M132" s="159" t="s">
        <v>87</v>
      </c>
    </row>
    <row r="133" spans="1:13">
      <c r="A133" s="19"/>
      <c r="B133" s="68" t="s">
        <v>584</v>
      </c>
      <c r="C133" s="46" t="s">
        <v>912</v>
      </c>
      <c r="D133" s="91" t="s">
        <v>605</v>
      </c>
      <c r="E133" s="46" t="s">
        <v>912</v>
      </c>
      <c r="F133" s="91" t="s">
        <v>605</v>
      </c>
      <c r="H133" s="46" t="s">
        <v>912</v>
      </c>
      <c r="I133" s="91" t="s">
        <v>605</v>
      </c>
      <c r="J133" s="46" t="s">
        <v>912</v>
      </c>
      <c r="K133" s="91" t="s">
        <v>605</v>
      </c>
      <c r="L133" s="158" t="s">
        <v>912</v>
      </c>
      <c r="M133" s="159" t="s">
        <v>1094</v>
      </c>
    </row>
    <row r="134" spans="1:13">
      <c r="A134" s="19"/>
      <c r="B134" s="68" t="s">
        <v>514</v>
      </c>
      <c r="C134" s="46" t="s">
        <v>913</v>
      </c>
      <c r="D134" s="91" t="s">
        <v>84</v>
      </c>
      <c r="E134" s="46" t="s">
        <v>913</v>
      </c>
      <c r="F134" s="91" t="s">
        <v>84</v>
      </c>
      <c r="H134" s="46" t="s">
        <v>913</v>
      </c>
      <c r="I134" s="91" t="s">
        <v>84</v>
      </c>
      <c r="J134" s="46" t="s">
        <v>913</v>
      </c>
      <c r="K134" s="91" t="s">
        <v>84</v>
      </c>
      <c r="L134" s="158" t="s">
        <v>913</v>
      </c>
      <c r="M134" s="159" t="s">
        <v>445</v>
      </c>
    </row>
    <row r="135" spans="1:13">
      <c r="A135" s="19"/>
      <c r="B135" s="68" t="s">
        <v>586</v>
      </c>
      <c r="C135" s="46" t="s">
        <v>598</v>
      </c>
      <c r="D135" s="91" t="s">
        <v>625</v>
      </c>
      <c r="E135" s="46" t="s">
        <v>598</v>
      </c>
      <c r="F135" s="91" t="s">
        <v>625</v>
      </c>
      <c r="H135" s="46" t="s">
        <v>598</v>
      </c>
      <c r="I135" s="91" t="s">
        <v>625</v>
      </c>
      <c r="J135" s="46" t="s">
        <v>598</v>
      </c>
      <c r="K135" s="91" t="s">
        <v>625</v>
      </c>
      <c r="L135" s="158" t="s">
        <v>598</v>
      </c>
      <c r="M135" s="159" t="s">
        <v>1101</v>
      </c>
    </row>
    <row r="136" spans="1:13">
      <c r="A136" s="19"/>
      <c r="B136" s="68" t="s">
        <v>587</v>
      </c>
      <c r="C136" s="46" t="s">
        <v>915</v>
      </c>
      <c r="D136" s="91" t="s">
        <v>606</v>
      </c>
      <c r="E136" s="46" t="s">
        <v>915</v>
      </c>
      <c r="F136" s="91" t="s">
        <v>606</v>
      </c>
      <c r="H136" s="46" t="s">
        <v>915</v>
      </c>
      <c r="I136" s="91" t="s">
        <v>606</v>
      </c>
      <c r="J136" s="46" t="s">
        <v>915</v>
      </c>
      <c r="K136" s="91" t="s">
        <v>606</v>
      </c>
      <c r="L136" s="158" t="s">
        <v>915</v>
      </c>
      <c r="M136" s="159" t="s">
        <v>1101</v>
      </c>
    </row>
    <row r="137" spans="1:13">
      <c r="A137" s="19"/>
      <c r="B137" s="68" t="s">
        <v>645</v>
      </c>
      <c r="C137" s="46" t="s">
        <v>644</v>
      </c>
      <c r="D137" s="91" t="s">
        <v>646</v>
      </c>
      <c r="E137" s="46" t="s">
        <v>644</v>
      </c>
      <c r="F137" s="91" t="s">
        <v>646</v>
      </c>
      <c r="H137" s="46" t="s">
        <v>644</v>
      </c>
      <c r="I137" s="91" t="s">
        <v>646</v>
      </c>
      <c r="J137" s="46" t="s">
        <v>644</v>
      </c>
      <c r="K137" s="91" t="s">
        <v>646</v>
      </c>
      <c r="L137" s="158" t="s">
        <v>644</v>
      </c>
      <c r="M137" s="159" t="s">
        <v>646</v>
      </c>
    </row>
    <row r="138" spans="1:13">
      <c r="A138" s="19"/>
      <c r="B138" s="68" t="s">
        <v>588</v>
      </c>
      <c r="C138" s="46" t="s">
        <v>599</v>
      </c>
      <c r="D138" s="91" t="s">
        <v>176</v>
      </c>
      <c r="E138" s="46" t="s">
        <v>599</v>
      </c>
      <c r="F138" s="91" t="s">
        <v>176</v>
      </c>
      <c r="H138" s="46" t="s">
        <v>599</v>
      </c>
      <c r="I138" s="91" t="s">
        <v>176</v>
      </c>
      <c r="J138" s="46" t="s">
        <v>599</v>
      </c>
      <c r="K138" s="91" t="s">
        <v>176</v>
      </c>
      <c r="L138" s="158" t="s">
        <v>599</v>
      </c>
      <c r="M138" s="159" t="s">
        <v>171</v>
      </c>
    </row>
    <row r="139" spans="1:13">
      <c r="A139" s="19"/>
      <c r="B139" s="68" t="s">
        <v>589</v>
      </c>
      <c r="C139" s="46" t="s">
        <v>916</v>
      </c>
      <c r="D139" s="91" t="s">
        <v>171</v>
      </c>
      <c r="E139" s="46" t="s">
        <v>916</v>
      </c>
      <c r="F139" s="91" t="s">
        <v>171</v>
      </c>
      <c r="H139" s="46" t="s">
        <v>916</v>
      </c>
      <c r="I139" s="91" t="s">
        <v>171</v>
      </c>
      <c r="J139" s="46" t="s">
        <v>916</v>
      </c>
      <c r="K139" s="91" t="s">
        <v>171</v>
      </c>
      <c r="L139" s="158" t="s">
        <v>916</v>
      </c>
      <c r="M139" s="159" t="s">
        <v>222</v>
      </c>
    </row>
    <row r="140" spans="1:13">
      <c r="A140" s="19"/>
      <c r="B140" s="68" t="s">
        <v>622</v>
      </c>
      <c r="C140" s="46" t="s">
        <v>613</v>
      </c>
      <c r="D140" s="91" t="s">
        <v>614</v>
      </c>
      <c r="E140" s="46" t="s">
        <v>613</v>
      </c>
      <c r="F140" s="91" t="s">
        <v>614</v>
      </c>
      <c r="H140" s="46" t="s">
        <v>613</v>
      </c>
      <c r="I140" s="91" t="s">
        <v>614</v>
      </c>
      <c r="J140" s="46" t="s">
        <v>613</v>
      </c>
      <c r="K140" s="91" t="s">
        <v>614</v>
      </c>
      <c r="L140" s="158" t="s">
        <v>613</v>
      </c>
      <c r="M140" s="159" t="s">
        <v>614</v>
      </c>
    </row>
    <row r="141" spans="1:13">
      <c r="A141" s="19"/>
      <c r="B141" s="68" t="s">
        <v>590</v>
      </c>
      <c r="C141" s="46" t="s">
        <v>600</v>
      </c>
      <c r="D141" s="91" t="s">
        <v>601</v>
      </c>
      <c r="E141" s="46" t="s">
        <v>600</v>
      </c>
      <c r="F141" s="91" t="s">
        <v>601</v>
      </c>
      <c r="H141" s="46" t="s">
        <v>600</v>
      </c>
      <c r="I141" s="91" t="s">
        <v>601</v>
      </c>
      <c r="J141" s="46" t="s">
        <v>600</v>
      </c>
      <c r="K141" s="91" t="s">
        <v>601</v>
      </c>
      <c r="L141" s="158" t="s">
        <v>600</v>
      </c>
      <c r="M141" s="159" t="s">
        <v>1102</v>
      </c>
    </row>
    <row r="142" spans="1:13">
      <c r="A142" s="19"/>
      <c r="B142" s="68" t="s">
        <v>617</v>
      </c>
      <c r="C142" s="46" t="s">
        <v>616</v>
      </c>
      <c r="D142" s="91" t="s">
        <v>618</v>
      </c>
      <c r="E142" s="46" t="s">
        <v>616</v>
      </c>
      <c r="F142" s="91" t="s">
        <v>618</v>
      </c>
      <c r="H142" s="46" t="s">
        <v>616</v>
      </c>
      <c r="I142" s="91" t="s">
        <v>618</v>
      </c>
      <c r="J142" s="46" t="s">
        <v>616</v>
      </c>
      <c r="K142" s="91" t="s">
        <v>618</v>
      </c>
      <c r="L142" s="158" t="s">
        <v>616</v>
      </c>
      <c r="M142" s="159" t="s">
        <v>618</v>
      </c>
    </row>
    <row r="143" spans="1:13">
      <c r="A143" s="19"/>
      <c r="B143" s="68" t="s">
        <v>515</v>
      </c>
      <c r="C143" s="46" t="s">
        <v>494</v>
      </c>
      <c r="D143" s="91" t="s">
        <v>84</v>
      </c>
      <c r="E143" s="46" t="s">
        <v>494</v>
      </c>
      <c r="F143" s="91" t="s">
        <v>84</v>
      </c>
      <c r="H143" s="46" t="s">
        <v>494</v>
      </c>
      <c r="I143" s="91" t="s">
        <v>84</v>
      </c>
      <c r="J143" s="46" t="s">
        <v>494</v>
      </c>
      <c r="K143" s="91" t="s">
        <v>84</v>
      </c>
      <c r="L143" s="158" t="s">
        <v>494</v>
      </c>
      <c r="M143" s="159" t="s">
        <v>111</v>
      </c>
    </row>
    <row r="144" spans="1:13">
      <c r="A144" s="19"/>
      <c r="B144" s="68" t="s">
        <v>516</v>
      </c>
      <c r="C144" s="46" t="s">
        <v>917</v>
      </c>
      <c r="D144" s="91" t="s">
        <v>84</v>
      </c>
      <c r="E144" s="46" t="s">
        <v>917</v>
      </c>
      <c r="F144" s="91" t="s">
        <v>84</v>
      </c>
      <c r="H144" s="46" t="s">
        <v>917</v>
      </c>
      <c r="I144" s="91" t="s">
        <v>84</v>
      </c>
      <c r="J144" s="46" t="s">
        <v>917</v>
      </c>
      <c r="K144" s="91" t="s">
        <v>84</v>
      </c>
      <c r="L144" s="158" t="s">
        <v>917</v>
      </c>
      <c r="M144" s="159" t="s">
        <v>401</v>
      </c>
    </row>
    <row r="145" spans="1:13">
      <c r="A145" s="19"/>
      <c r="B145" s="68" t="s">
        <v>517</v>
      </c>
      <c r="C145" s="46" t="s">
        <v>918</v>
      </c>
      <c r="D145" s="91" t="s">
        <v>84</v>
      </c>
      <c r="E145" s="46" t="s">
        <v>918</v>
      </c>
      <c r="F145" s="91" t="s">
        <v>84</v>
      </c>
      <c r="H145" s="46" t="s">
        <v>918</v>
      </c>
      <c r="I145" s="91" t="s">
        <v>84</v>
      </c>
      <c r="J145" s="46" t="s">
        <v>918</v>
      </c>
      <c r="K145" s="91" t="s">
        <v>84</v>
      </c>
      <c r="L145" s="158" t="s">
        <v>918</v>
      </c>
      <c r="M145" s="159" t="s">
        <v>1103</v>
      </c>
    </row>
    <row r="146" spans="1:13">
      <c r="A146" s="19"/>
      <c r="B146" s="68" t="s">
        <v>441</v>
      </c>
      <c r="C146" s="46" t="s">
        <v>440</v>
      </c>
      <c r="D146" s="91" t="s">
        <v>135</v>
      </c>
      <c r="E146" s="46" t="s">
        <v>440</v>
      </c>
      <c r="F146" s="91" t="s">
        <v>135</v>
      </c>
      <c r="H146" s="46" t="s">
        <v>440</v>
      </c>
      <c r="I146" s="91" t="s">
        <v>135</v>
      </c>
      <c r="J146" s="46" t="s">
        <v>440</v>
      </c>
      <c r="K146" s="91" t="s">
        <v>135</v>
      </c>
      <c r="L146" s="158" t="s">
        <v>440</v>
      </c>
      <c r="M146" s="159" t="s">
        <v>135</v>
      </c>
    </row>
    <row r="147" spans="1:13">
      <c r="A147" s="19"/>
      <c r="B147" s="68" t="s">
        <v>443</v>
      </c>
      <c r="C147" s="46" t="s">
        <v>442</v>
      </c>
      <c r="D147" s="91" t="s">
        <v>153</v>
      </c>
      <c r="E147" s="46" t="s">
        <v>442</v>
      </c>
      <c r="F147" s="91" t="s">
        <v>153</v>
      </c>
      <c r="H147" s="46" t="s">
        <v>442</v>
      </c>
      <c r="I147" s="91" t="s">
        <v>153</v>
      </c>
      <c r="J147" s="46" t="s">
        <v>442</v>
      </c>
      <c r="K147" s="91" t="s">
        <v>153</v>
      </c>
      <c r="L147" s="158" t="s">
        <v>442</v>
      </c>
      <c r="M147" s="159" t="s">
        <v>153</v>
      </c>
    </row>
    <row r="148" spans="1:13">
      <c r="A148" s="19"/>
      <c r="B148" s="68" t="s">
        <v>444</v>
      </c>
      <c r="C148" s="46" t="s">
        <v>495</v>
      </c>
      <c r="D148" s="91" t="s">
        <v>482</v>
      </c>
      <c r="E148" s="46" t="s">
        <v>495</v>
      </c>
      <c r="F148" s="91" t="s">
        <v>482</v>
      </c>
      <c r="H148" s="46" t="s">
        <v>495</v>
      </c>
      <c r="I148" s="91" t="s">
        <v>482</v>
      </c>
      <c r="J148" s="46" t="s">
        <v>495</v>
      </c>
      <c r="K148" s="91" t="s">
        <v>482</v>
      </c>
      <c r="L148" s="158" t="s">
        <v>495</v>
      </c>
      <c r="M148" s="159" t="s">
        <v>445</v>
      </c>
    </row>
    <row r="149" spans="1:13">
      <c r="A149" s="19"/>
      <c r="B149" s="68" t="s">
        <v>446</v>
      </c>
      <c r="C149" s="46" t="s">
        <v>921</v>
      </c>
      <c r="D149" s="91" t="s">
        <v>445</v>
      </c>
      <c r="E149" s="46" t="s">
        <v>921</v>
      </c>
      <c r="F149" s="91" t="s">
        <v>445</v>
      </c>
      <c r="H149" s="46" t="s">
        <v>921</v>
      </c>
      <c r="I149" s="91" t="s">
        <v>445</v>
      </c>
      <c r="J149" s="46" t="s">
        <v>921</v>
      </c>
      <c r="K149" s="91" t="s">
        <v>445</v>
      </c>
      <c r="L149" s="158" t="s">
        <v>921</v>
      </c>
      <c r="M149" s="159" t="s">
        <v>87</v>
      </c>
    </row>
    <row r="150" spans="1:13">
      <c r="A150" s="19"/>
      <c r="B150" s="68" t="s">
        <v>447</v>
      </c>
      <c r="C150" s="46" t="s">
        <v>922</v>
      </c>
      <c r="D150" s="91" t="s">
        <v>87</v>
      </c>
      <c r="E150" s="46" t="s">
        <v>922</v>
      </c>
      <c r="F150" s="91" t="s">
        <v>87</v>
      </c>
      <c r="H150" s="46" t="s">
        <v>922</v>
      </c>
      <c r="I150" s="91" t="s">
        <v>87</v>
      </c>
      <c r="J150" s="46" t="s">
        <v>922</v>
      </c>
      <c r="K150" s="91" t="s">
        <v>87</v>
      </c>
      <c r="L150" s="158" t="s">
        <v>922</v>
      </c>
      <c r="M150" s="159" t="s">
        <v>81</v>
      </c>
    </row>
    <row r="151" spans="1:13">
      <c r="A151" s="19"/>
      <c r="B151" s="68" t="s">
        <v>448</v>
      </c>
      <c r="C151" s="46" t="s">
        <v>923</v>
      </c>
      <c r="D151" s="91" t="s">
        <v>81</v>
      </c>
      <c r="E151" s="46" t="s">
        <v>923</v>
      </c>
      <c r="F151" s="91" t="s">
        <v>81</v>
      </c>
      <c r="H151" s="46" t="s">
        <v>923</v>
      </c>
      <c r="I151" s="91" t="s">
        <v>81</v>
      </c>
      <c r="J151" s="46" t="s">
        <v>923</v>
      </c>
      <c r="K151" s="91" t="s">
        <v>81</v>
      </c>
      <c r="L151" s="158" t="s">
        <v>923</v>
      </c>
      <c r="M151" s="159" t="s">
        <v>109</v>
      </c>
    </row>
    <row r="152" spans="1:13">
      <c r="A152" s="19"/>
      <c r="B152" s="68" t="s">
        <v>449</v>
      </c>
      <c r="C152" s="46" t="s">
        <v>545</v>
      </c>
      <c r="D152" s="91" t="s">
        <v>109</v>
      </c>
      <c r="E152" s="46" t="s">
        <v>545</v>
      </c>
      <c r="F152" s="91" t="s">
        <v>109</v>
      </c>
      <c r="H152" s="46" t="s">
        <v>545</v>
      </c>
      <c r="I152" s="91" t="s">
        <v>109</v>
      </c>
      <c r="J152" s="46" t="s">
        <v>545</v>
      </c>
      <c r="K152" s="91" t="s">
        <v>109</v>
      </c>
      <c r="L152" s="158" t="s">
        <v>545</v>
      </c>
      <c r="M152" s="159" t="s">
        <v>109</v>
      </c>
    </row>
    <row r="153" spans="1:13">
      <c r="A153" s="19"/>
      <c r="B153" s="68" t="s">
        <v>450</v>
      </c>
      <c r="C153" s="46" t="s">
        <v>496</v>
      </c>
      <c r="D153" s="91" t="s">
        <v>106</v>
      </c>
      <c r="E153" s="46" t="s">
        <v>496</v>
      </c>
      <c r="F153" s="91" t="s">
        <v>106</v>
      </c>
      <c r="H153" s="46" t="s">
        <v>496</v>
      </c>
      <c r="I153" s="91" t="s">
        <v>106</v>
      </c>
      <c r="J153" s="46" t="s">
        <v>496</v>
      </c>
      <c r="K153" s="91" t="s">
        <v>106</v>
      </c>
      <c r="L153" s="158" t="s">
        <v>496</v>
      </c>
      <c r="M153" s="159" t="s">
        <v>109</v>
      </c>
    </row>
    <row r="154" spans="1:13">
      <c r="A154" s="19"/>
      <c r="B154" s="68" t="s">
        <v>452</v>
      </c>
      <c r="C154" s="46" t="s">
        <v>451</v>
      </c>
      <c r="D154" s="91" t="s">
        <v>453</v>
      </c>
      <c r="E154" s="46" t="s">
        <v>451</v>
      </c>
      <c r="F154" s="91" t="s">
        <v>453</v>
      </c>
      <c r="H154" s="46" t="s">
        <v>451</v>
      </c>
      <c r="I154" s="91" t="s">
        <v>453</v>
      </c>
      <c r="J154" s="46" t="s">
        <v>451</v>
      </c>
      <c r="K154" s="91" t="s">
        <v>453</v>
      </c>
      <c r="L154" s="158" t="s">
        <v>451</v>
      </c>
      <c r="M154" s="159" t="s">
        <v>453</v>
      </c>
    </row>
    <row r="155" spans="1:13">
      <c r="A155" s="19"/>
      <c r="B155" s="68" t="s">
        <v>454</v>
      </c>
      <c r="C155" s="46" t="s">
        <v>497</v>
      </c>
      <c r="D155" s="91" t="s">
        <v>660</v>
      </c>
      <c r="E155" s="46" t="s">
        <v>497</v>
      </c>
      <c r="F155" s="91" t="s">
        <v>660</v>
      </c>
      <c r="H155" s="46" t="s">
        <v>497</v>
      </c>
      <c r="I155" s="91" t="s">
        <v>660</v>
      </c>
      <c r="J155" s="46" t="s">
        <v>497</v>
      </c>
      <c r="K155" s="91" t="s">
        <v>660</v>
      </c>
      <c r="L155" s="158" t="s">
        <v>497</v>
      </c>
      <c r="M155" s="159" t="s">
        <v>1104</v>
      </c>
    </row>
    <row r="156" spans="1:13">
      <c r="A156" s="19"/>
      <c r="B156" s="68" t="s">
        <v>455</v>
      </c>
      <c r="C156" s="46" t="s">
        <v>295</v>
      </c>
      <c r="D156" s="91" t="s">
        <v>661</v>
      </c>
      <c r="E156" s="46" t="s">
        <v>295</v>
      </c>
      <c r="F156" s="91" t="s">
        <v>661</v>
      </c>
      <c r="H156" s="46" t="s">
        <v>295</v>
      </c>
      <c r="I156" s="91" t="s">
        <v>661</v>
      </c>
      <c r="J156" s="46" t="s">
        <v>295</v>
      </c>
      <c r="K156" s="91" t="s">
        <v>661</v>
      </c>
      <c r="L156" s="158" t="s">
        <v>295</v>
      </c>
      <c r="M156" s="159" t="s">
        <v>1105</v>
      </c>
    </row>
    <row r="157" spans="1:13">
      <c r="A157" s="19"/>
      <c r="B157" s="68" t="s">
        <v>456</v>
      </c>
      <c r="C157" s="46" t="s">
        <v>523</v>
      </c>
      <c r="D157" s="91" t="s">
        <v>660</v>
      </c>
      <c r="E157" s="46" t="s">
        <v>523</v>
      </c>
      <c r="F157" s="91" t="s">
        <v>660</v>
      </c>
      <c r="H157" s="46" t="s">
        <v>523</v>
      </c>
      <c r="I157" s="91" t="s">
        <v>660</v>
      </c>
      <c r="J157" s="46" t="s">
        <v>523</v>
      </c>
      <c r="K157" s="91" t="s">
        <v>660</v>
      </c>
      <c r="L157" s="158" t="s">
        <v>523</v>
      </c>
      <c r="M157" s="159" t="s">
        <v>1106</v>
      </c>
    </row>
    <row r="158" spans="1:13">
      <c r="A158" s="19"/>
      <c r="B158" s="68" t="s">
        <v>457</v>
      </c>
      <c r="C158" s="46" t="s">
        <v>924</v>
      </c>
      <c r="D158" s="91" t="s">
        <v>662</v>
      </c>
      <c r="E158" s="46" t="s">
        <v>924</v>
      </c>
      <c r="F158" s="91" t="s">
        <v>662</v>
      </c>
      <c r="H158" s="46" t="s">
        <v>924</v>
      </c>
      <c r="I158" s="91" t="s">
        <v>662</v>
      </c>
      <c r="J158" s="46" t="s">
        <v>924</v>
      </c>
      <c r="K158" s="91" t="s">
        <v>662</v>
      </c>
      <c r="L158" s="158" t="s">
        <v>924</v>
      </c>
      <c r="M158" s="159" t="s">
        <v>1107</v>
      </c>
    </row>
    <row r="159" spans="1:13">
      <c r="A159" s="19"/>
      <c r="B159" s="68" t="s">
        <v>458</v>
      </c>
      <c r="C159" s="46" t="s">
        <v>822</v>
      </c>
      <c r="D159" s="91" t="s">
        <v>663</v>
      </c>
      <c r="E159" s="46" t="s">
        <v>822</v>
      </c>
      <c r="F159" s="91" t="s">
        <v>663</v>
      </c>
      <c r="H159" s="46" t="s">
        <v>822</v>
      </c>
      <c r="I159" s="91" t="s">
        <v>663</v>
      </c>
      <c r="J159" s="46" t="s">
        <v>822</v>
      </c>
      <c r="K159" s="91" t="s">
        <v>663</v>
      </c>
      <c r="L159" s="158" t="s">
        <v>822</v>
      </c>
      <c r="M159" s="159" t="s">
        <v>1108</v>
      </c>
    </row>
    <row r="160" spans="1:13">
      <c r="A160" s="19"/>
      <c r="B160" s="68" t="s">
        <v>459</v>
      </c>
      <c r="C160" s="46" t="s">
        <v>925</v>
      </c>
      <c r="D160" s="91" t="s">
        <v>662</v>
      </c>
      <c r="E160" s="46" t="s">
        <v>925</v>
      </c>
      <c r="F160" s="91" t="s">
        <v>662</v>
      </c>
      <c r="H160" s="46" t="s">
        <v>925</v>
      </c>
      <c r="I160" s="91" t="s">
        <v>662</v>
      </c>
      <c r="J160" s="46" t="s">
        <v>925</v>
      </c>
      <c r="K160" s="91" t="s">
        <v>662</v>
      </c>
      <c r="L160" s="158" t="s">
        <v>925</v>
      </c>
      <c r="M160" s="159" t="s">
        <v>1108</v>
      </c>
    </row>
    <row r="161" spans="1:13">
      <c r="A161" s="19"/>
      <c r="B161" s="68" t="s">
        <v>460</v>
      </c>
      <c r="C161" s="46" t="s">
        <v>926</v>
      </c>
      <c r="D161" s="91" t="s">
        <v>664</v>
      </c>
      <c r="E161" s="46" t="s">
        <v>926</v>
      </c>
      <c r="F161" s="91" t="s">
        <v>664</v>
      </c>
      <c r="H161" s="46" t="s">
        <v>926</v>
      </c>
      <c r="I161" s="91" t="s">
        <v>664</v>
      </c>
      <c r="J161" s="46" t="s">
        <v>926</v>
      </c>
      <c r="K161" s="91" t="s">
        <v>664</v>
      </c>
      <c r="L161" s="158" t="s">
        <v>926</v>
      </c>
      <c r="M161" s="159" t="s">
        <v>1108</v>
      </c>
    </row>
    <row r="162" spans="1:13">
      <c r="A162" s="19"/>
      <c r="B162" s="68" t="s">
        <v>461</v>
      </c>
      <c r="C162" s="46" t="s">
        <v>240</v>
      </c>
      <c r="D162" s="91" t="s">
        <v>665</v>
      </c>
      <c r="E162" s="46" t="s">
        <v>240</v>
      </c>
      <c r="F162" s="91" t="s">
        <v>665</v>
      </c>
      <c r="H162" s="46" t="s">
        <v>240</v>
      </c>
      <c r="I162" s="91" t="s">
        <v>665</v>
      </c>
      <c r="J162" s="46" t="s">
        <v>240</v>
      </c>
      <c r="K162" s="91" t="s">
        <v>665</v>
      </c>
      <c r="L162" s="158" t="s">
        <v>240</v>
      </c>
      <c r="M162" s="159" t="s">
        <v>1108</v>
      </c>
    </row>
    <row r="163" spans="1:13">
      <c r="A163" s="19"/>
      <c r="B163" s="68" t="s">
        <v>462</v>
      </c>
      <c r="C163" s="46" t="s">
        <v>572</v>
      </c>
      <c r="D163" s="91" t="s">
        <v>463</v>
      </c>
      <c r="E163" s="46" t="s">
        <v>572</v>
      </c>
      <c r="F163" s="91" t="s">
        <v>463</v>
      </c>
      <c r="H163" s="46" t="s">
        <v>572</v>
      </c>
      <c r="I163" s="91" t="s">
        <v>463</v>
      </c>
      <c r="J163" s="46" t="s">
        <v>572</v>
      </c>
      <c r="K163" s="91" t="s">
        <v>463</v>
      </c>
      <c r="L163" s="158" t="s">
        <v>572</v>
      </c>
      <c r="M163" s="159" t="s">
        <v>463</v>
      </c>
    </row>
    <row r="164" spans="1:13">
      <c r="A164" s="19"/>
      <c r="B164" s="68" t="s">
        <v>464</v>
      </c>
      <c r="C164" s="46" t="s">
        <v>257</v>
      </c>
      <c r="D164" s="91" t="s">
        <v>153</v>
      </c>
      <c r="E164" s="46" t="s">
        <v>257</v>
      </c>
      <c r="F164" s="91" t="s">
        <v>153</v>
      </c>
      <c r="H164" s="46" t="s">
        <v>257</v>
      </c>
      <c r="I164" s="91" t="s">
        <v>153</v>
      </c>
      <c r="J164" s="46" t="s">
        <v>257</v>
      </c>
      <c r="K164" s="91" t="s">
        <v>153</v>
      </c>
      <c r="L164" s="158" t="s">
        <v>257</v>
      </c>
      <c r="M164" s="159" t="s">
        <v>153</v>
      </c>
    </row>
    <row r="165" spans="1:13">
      <c r="A165" s="19"/>
      <c r="B165" s="68" t="s">
        <v>465</v>
      </c>
      <c r="C165" s="46" t="s">
        <v>655</v>
      </c>
      <c r="D165" s="91" t="s">
        <v>153</v>
      </c>
      <c r="E165" s="46" t="s">
        <v>655</v>
      </c>
      <c r="F165" s="91" t="s">
        <v>153</v>
      </c>
      <c r="H165" s="46" t="s">
        <v>655</v>
      </c>
      <c r="I165" s="91" t="s">
        <v>153</v>
      </c>
      <c r="J165" s="46" t="s">
        <v>655</v>
      </c>
      <c r="K165" s="91" t="s">
        <v>153</v>
      </c>
      <c r="L165" s="158" t="s">
        <v>655</v>
      </c>
      <c r="M165" s="159" t="s">
        <v>153</v>
      </c>
    </row>
    <row r="166" spans="1:13">
      <c r="A166" s="19"/>
      <c r="B166" s="68" t="s">
        <v>466</v>
      </c>
      <c r="C166" s="46" t="s">
        <v>498</v>
      </c>
      <c r="D166" s="91" t="s">
        <v>84</v>
      </c>
      <c r="E166" s="46" t="s">
        <v>498</v>
      </c>
      <c r="F166" s="91" t="s">
        <v>84</v>
      </c>
      <c r="H166" s="46" t="s">
        <v>498</v>
      </c>
      <c r="I166" s="91" t="s">
        <v>84</v>
      </c>
      <c r="J166" s="46" t="s">
        <v>498</v>
      </c>
      <c r="K166" s="91" t="s">
        <v>84</v>
      </c>
      <c r="L166" s="158" t="s">
        <v>498</v>
      </c>
      <c r="M166" s="159" t="s">
        <v>153</v>
      </c>
    </row>
    <row r="167" spans="1:13">
      <c r="A167" s="19"/>
      <c r="B167" s="68" t="s">
        <v>467</v>
      </c>
      <c r="C167" s="46" t="s">
        <v>290</v>
      </c>
      <c r="D167" s="91" t="s">
        <v>153</v>
      </c>
      <c r="E167" s="46" t="s">
        <v>290</v>
      </c>
      <c r="F167" s="91" t="s">
        <v>153</v>
      </c>
      <c r="H167" s="46" t="s">
        <v>290</v>
      </c>
      <c r="I167" s="91" t="s">
        <v>153</v>
      </c>
      <c r="J167" s="46" t="s">
        <v>290</v>
      </c>
      <c r="K167" s="91" t="s">
        <v>153</v>
      </c>
      <c r="L167" s="158" t="s">
        <v>290</v>
      </c>
      <c r="M167" s="159" t="s">
        <v>153</v>
      </c>
    </row>
    <row r="168" spans="1:13">
      <c r="A168" s="19"/>
      <c r="B168" s="68" t="s">
        <v>468</v>
      </c>
      <c r="C168" s="46" t="s">
        <v>239</v>
      </c>
      <c r="D168" s="91" t="s">
        <v>153</v>
      </c>
      <c r="E168" s="46" t="s">
        <v>239</v>
      </c>
      <c r="F168" s="91" t="s">
        <v>153</v>
      </c>
      <c r="H168" s="46" t="s">
        <v>239</v>
      </c>
      <c r="I168" s="91" t="s">
        <v>153</v>
      </c>
      <c r="J168" s="46" t="s">
        <v>239</v>
      </c>
      <c r="K168" s="91" t="s">
        <v>153</v>
      </c>
      <c r="L168" s="158" t="s">
        <v>239</v>
      </c>
      <c r="M168" s="159" t="s">
        <v>153</v>
      </c>
    </row>
    <row r="169" spans="1:13">
      <c r="A169" s="19"/>
      <c r="B169" s="68" t="s">
        <v>469</v>
      </c>
      <c r="C169" s="46" t="s">
        <v>972</v>
      </c>
      <c r="D169" s="91" t="s">
        <v>153</v>
      </c>
      <c r="E169" s="46" t="s">
        <v>972</v>
      </c>
      <c r="F169" s="91" t="s">
        <v>153</v>
      </c>
      <c r="H169" s="46" t="s">
        <v>972</v>
      </c>
      <c r="I169" s="91" t="s">
        <v>153</v>
      </c>
      <c r="J169" s="46" t="s">
        <v>972</v>
      </c>
      <c r="K169" s="91" t="s">
        <v>153</v>
      </c>
      <c r="L169" s="158" t="s">
        <v>972</v>
      </c>
      <c r="M169" s="159" t="s">
        <v>153</v>
      </c>
    </row>
    <row r="170" spans="1:13">
      <c r="A170" s="19"/>
      <c r="B170" s="68" t="s">
        <v>470</v>
      </c>
      <c r="C170" s="46" t="s">
        <v>973</v>
      </c>
      <c r="D170" s="91" t="s">
        <v>153</v>
      </c>
      <c r="E170" s="46" t="s">
        <v>973</v>
      </c>
      <c r="F170" s="91" t="s">
        <v>153</v>
      </c>
      <c r="H170" s="46" t="s">
        <v>973</v>
      </c>
      <c r="I170" s="91" t="s">
        <v>153</v>
      </c>
      <c r="J170" s="46" t="s">
        <v>973</v>
      </c>
      <c r="K170" s="91" t="s">
        <v>153</v>
      </c>
      <c r="L170" s="158" t="s">
        <v>973</v>
      </c>
      <c r="M170" s="159" t="s">
        <v>153</v>
      </c>
    </row>
    <row r="171" spans="1:13">
      <c r="A171" s="19"/>
      <c r="B171" s="68" t="s">
        <v>927</v>
      </c>
      <c r="C171" s="46" t="s">
        <v>928</v>
      </c>
      <c r="D171" s="91" t="s">
        <v>964</v>
      </c>
      <c r="E171" s="46" t="s">
        <v>928</v>
      </c>
      <c r="F171" s="91" t="s">
        <v>964</v>
      </c>
      <c r="H171" s="46" t="s">
        <v>928</v>
      </c>
      <c r="I171" s="91" t="s">
        <v>964</v>
      </c>
      <c r="J171" s="46" t="s">
        <v>928</v>
      </c>
      <c r="K171" s="91" t="s">
        <v>964</v>
      </c>
      <c r="L171" s="158" t="s">
        <v>928</v>
      </c>
      <c r="M171" s="159" t="s">
        <v>84</v>
      </c>
    </row>
    <row r="172" spans="1:13">
      <c r="A172" s="19"/>
      <c r="B172" s="68" t="s">
        <v>929</v>
      </c>
      <c r="C172" s="46" t="s">
        <v>930</v>
      </c>
      <c r="D172" s="91" t="s">
        <v>965</v>
      </c>
      <c r="E172" s="46" t="s">
        <v>930</v>
      </c>
      <c r="F172" s="91" t="s">
        <v>965</v>
      </c>
      <c r="H172" s="46" t="s">
        <v>930</v>
      </c>
      <c r="I172" s="91" t="s">
        <v>965</v>
      </c>
      <c r="J172" s="46" t="s">
        <v>930</v>
      </c>
      <c r="K172" s="91" t="s">
        <v>965</v>
      </c>
      <c r="L172" s="158" t="s">
        <v>930</v>
      </c>
      <c r="M172" s="159" t="s">
        <v>84</v>
      </c>
    </row>
    <row r="173" spans="1:13">
      <c r="A173" s="19"/>
      <c r="B173" s="68" t="s">
        <v>931</v>
      </c>
      <c r="C173" s="46" t="s">
        <v>932</v>
      </c>
      <c r="D173" s="91" t="s">
        <v>965</v>
      </c>
      <c r="E173" s="46" t="s">
        <v>932</v>
      </c>
      <c r="F173" s="91" t="s">
        <v>965</v>
      </c>
      <c r="H173" s="46" t="s">
        <v>932</v>
      </c>
      <c r="I173" s="91" t="s">
        <v>965</v>
      </c>
      <c r="J173" s="46" t="s">
        <v>932</v>
      </c>
      <c r="K173" s="91" t="s">
        <v>965</v>
      </c>
      <c r="L173" s="158" t="s">
        <v>932</v>
      </c>
      <c r="M173" s="159" t="s">
        <v>84</v>
      </c>
    </row>
    <row r="174" spans="1:13">
      <c r="A174" s="19"/>
      <c r="B174" s="68" t="s">
        <v>933</v>
      </c>
      <c r="C174" s="46" t="s">
        <v>934</v>
      </c>
      <c r="D174" s="91" t="s">
        <v>965</v>
      </c>
      <c r="E174" s="46" t="s">
        <v>934</v>
      </c>
      <c r="F174" s="91" t="s">
        <v>965</v>
      </c>
      <c r="H174" s="46" t="s">
        <v>934</v>
      </c>
      <c r="I174" s="91" t="s">
        <v>965</v>
      </c>
      <c r="J174" s="46" t="s">
        <v>934</v>
      </c>
      <c r="K174" s="91" t="s">
        <v>965</v>
      </c>
      <c r="L174" s="158" t="s">
        <v>934</v>
      </c>
      <c r="M174" s="159" t="s">
        <v>84</v>
      </c>
    </row>
    <row r="175" spans="1:13">
      <c r="A175" s="19"/>
      <c r="B175" s="68" t="s">
        <v>935</v>
      </c>
      <c r="C175" s="46" t="s">
        <v>936</v>
      </c>
      <c r="D175" s="91" t="s">
        <v>135</v>
      </c>
      <c r="E175" s="46" t="s">
        <v>936</v>
      </c>
      <c r="F175" s="91" t="s">
        <v>135</v>
      </c>
      <c r="H175" s="46" t="s">
        <v>936</v>
      </c>
      <c r="I175" s="91" t="s">
        <v>135</v>
      </c>
      <c r="J175" s="46" t="s">
        <v>936</v>
      </c>
      <c r="K175" s="91" t="s">
        <v>135</v>
      </c>
      <c r="L175" s="158" t="s">
        <v>936</v>
      </c>
      <c r="M175" s="159" t="s">
        <v>84</v>
      </c>
    </row>
    <row r="176" spans="1:13">
      <c r="A176" s="19"/>
      <c r="B176" s="68" t="s">
        <v>937</v>
      </c>
      <c r="C176" s="46" t="s">
        <v>938</v>
      </c>
      <c r="D176" s="91" t="s">
        <v>135</v>
      </c>
      <c r="E176" s="46" t="s">
        <v>938</v>
      </c>
      <c r="F176" s="91" t="s">
        <v>135</v>
      </c>
      <c r="H176" s="46" t="s">
        <v>938</v>
      </c>
      <c r="I176" s="91" t="s">
        <v>135</v>
      </c>
      <c r="J176" s="46" t="s">
        <v>938</v>
      </c>
      <c r="K176" s="91" t="s">
        <v>135</v>
      </c>
      <c r="L176" s="158" t="s">
        <v>938</v>
      </c>
      <c r="M176" s="159" t="s">
        <v>84</v>
      </c>
    </row>
    <row r="177" spans="1:13">
      <c r="A177" s="19"/>
      <c r="B177" s="68" t="s">
        <v>939</v>
      </c>
      <c r="C177" s="46" t="s">
        <v>940</v>
      </c>
      <c r="D177" s="91" t="s">
        <v>64</v>
      </c>
      <c r="E177" s="46" t="s">
        <v>940</v>
      </c>
      <c r="F177" s="91" t="s">
        <v>64</v>
      </c>
      <c r="H177" s="46" t="s">
        <v>940</v>
      </c>
      <c r="I177" s="91" t="s">
        <v>64</v>
      </c>
      <c r="J177" s="46" t="s">
        <v>940</v>
      </c>
      <c r="K177" s="91" t="s">
        <v>64</v>
      </c>
      <c r="L177" s="158" t="s">
        <v>940</v>
      </c>
      <c r="M177" s="159" t="s">
        <v>84</v>
      </c>
    </row>
    <row r="178" spans="1:13">
      <c r="A178" s="19"/>
      <c r="B178" s="68" t="s">
        <v>941</v>
      </c>
      <c r="C178" s="46" t="s">
        <v>942</v>
      </c>
      <c r="D178" s="91" t="s">
        <v>64</v>
      </c>
      <c r="E178" s="46" t="s">
        <v>942</v>
      </c>
      <c r="F178" s="91" t="s">
        <v>64</v>
      </c>
      <c r="H178" s="46" t="s">
        <v>942</v>
      </c>
      <c r="I178" s="91" t="s">
        <v>64</v>
      </c>
      <c r="J178" s="46" t="s">
        <v>942</v>
      </c>
      <c r="K178" s="91" t="s">
        <v>64</v>
      </c>
      <c r="L178" s="158" t="s">
        <v>942</v>
      </c>
      <c r="M178" s="159" t="s">
        <v>84</v>
      </c>
    </row>
    <row r="179" spans="1:13">
      <c r="A179" s="19"/>
      <c r="B179" s="68" t="s">
        <v>943</v>
      </c>
      <c r="C179" s="46" t="s">
        <v>944</v>
      </c>
      <c r="D179" s="91" t="s">
        <v>64</v>
      </c>
      <c r="E179" s="46" t="s">
        <v>944</v>
      </c>
      <c r="F179" s="91" t="s">
        <v>64</v>
      </c>
      <c r="H179" s="46" t="s">
        <v>944</v>
      </c>
      <c r="I179" s="91" t="s">
        <v>64</v>
      </c>
      <c r="J179" s="46" t="s">
        <v>944</v>
      </c>
      <c r="K179" s="91" t="s">
        <v>64</v>
      </c>
      <c r="L179" s="158" t="s">
        <v>944</v>
      </c>
      <c r="M179" s="159" t="s">
        <v>84</v>
      </c>
    </row>
    <row r="180" spans="1:13">
      <c r="A180" s="19"/>
      <c r="B180" s="68" t="s">
        <v>945</v>
      </c>
      <c r="C180" s="46" t="s">
        <v>946</v>
      </c>
      <c r="D180" s="91" t="s">
        <v>604</v>
      </c>
      <c r="E180" s="46" t="s">
        <v>946</v>
      </c>
      <c r="F180" s="91" t="s">
        <v>604</v>
      </c>
      <c r="H180" s="46" t="s">
        <v>946</v>
      </c>
      <c r="I180" s="91" t="s">
        <v>604</v>
      </c>
      <c r="J180" s="46" t="s">
        <v>946</v>
      </c>
      <c r="K180" s="91" t="s">
        <v>604</v>
      </c>
      <c r="L180" s="158" t="s">
        <v>946</v>
      </c>
      <c r="M180" s="159" t="s">
        <v>84</v>
      </c>
    </row>
    <row r="181" spans="1:13">
      <c r="A181" s="19"/>
      <c r="B181" s="68" t="s">
        <v>947</v>
      </c>
      <c r="C181" s="46" t="s">
        <v>948</v>
      </c>
      <c r="D181" s="91" t="s">
        <v>153</v>
      </c>
      <c r="E181" s="46" t="s">
        <v>948</v>
      </c>
      <c r="F181" s="91" t="s">
        <v>153</v>
      </c>
      <c r="H181" s="46" t="s">
        <v>948</v>
      </c>
      <c r="I181" s="91" t="s">
        <v>153</v>
      </c>
      <c r="J181" s="46" t="s">
        <v>948</v>
      </c>
      <c r="K181" s="91" t="s">
        <v>153</v>
      </c>
      <c r="L181" s="158" t="s">
        <v>948</v>
      </c>
      <c r="M181" s="159" t="s">
        <v>84</v>
      </c>
    </row>
    <row r="182" spans="1:13">
      <c r="A182" s="19"/>
      <c r="B182" s="68" t="s">
        <v>949</v>
      </c>
      <c r="C182" s="46" t="s">
        <v>950</v>
      </c>
      <c r="D182" s="91" t="s">
        <v>153</v>
      </c>
      <c r="E182" s="46" t="s">
        <v>950</v>
      </c>
      <c r="F182" s="91" t="s">
        <v>153</v>
      </c>
      <c r="H182" s="46" t="s">
        <v>950</v>
      </c>
      <c r="I182" s="91" t="s">
        <v>153</v>
      </c>
      <c r="J182" s="46" t="s">
        <v>950</v>
      </c>
      <c r="K182" s="91" t="s">
        <v>153</v>
      </c>
      <c r="L182" s="158" t="s">
        <v>950</v>
      </c>
      <c r="M182" s="159" t="s">
        <v>84</v>
      </c>
    </row>
    <row r="183" spans="1:13">
      <c r="A183" s="19"/>
      <c r="B183" s="68" t="s">
        <v>951</v>
      </c>
      <c r="C183" s="46" t="s">
        <v>952</v>
      </c>
      <c r="D183" s="91" t="s">
        <v>153</v>
      </c>
      <c r="E183" s="46" t="s">
        <v>952</v>
      </c>
      <c r="F183" s="91" t="s">
        <v>153</v>
      </c>
      <c r="H183" s="46" t="s">
        <v>952</v>
      </c>
      <c r="I183" s="91" t="s">
        <v>153</v>
      </c>
      <c r="J183" s="46" t="s">
        <v>952</v>
      </c>
      <c r="K183" s="91" t="s">
        <v>153</v>
      </c>
      <c r="L183" s="158" t="s">
        <v>952</v>
      </c>
      <c r="M183" s="159" t="s">
        <v>84</v>
      </c>
    </row>
    <row r="184" spans="1:13">
      <c r="A184" s="19"/>
      <c r="B184" s="68" t="s">
        <v>953</v>
      </c>
      <c r="C184" s="46" t="s">
        <v>954</v>
      </c>
      <c r="D184" s="91" t="s">
        <v>603</v>
      </c>
      <c r="E184" s="46" t="s">
        <v>954</v>
      </c>
      <c r="F184" s="91" t="s">
        <v>603</v>
      </c>
      <c r="H184" s="46" t="s">
        <v>954</v>
      </c>
      <c r="I184" s="91" t="s">
        <v>603</v>
      </c>
      <c r="J184" s="46" t="s">
        <v>954</v>
      </c>
      <c r="K184" s="91" t="s">
        <v>603</v>
      </c>
      <c r="L184" s="158" t="s">
        <v>954</v>
      </c>
      <c r="M184" s="159" t="s">
        <v>84</v>
      </c>
    </row>
    <row r="185" spans="1:13">
      <c r="A185" s="19"/>
      <c r="B185" s="68" t="s">
        <v>955</v>
      </c>
      <c r="C185" s="46" t="s">
        <v>956</v>
      </c>
      <c r="D185" s="91" t="s">
        <v>603</v>
      </c>
      <c r="E185" s="46" t="s">
        <v>956</v>
      </c>
      <c r="F185" s="91" t="s">
        <v>603</v>
      </c>
      <c r="H185" s="46" t="s">
        <v>956</v>
      </c>
      <c r="I185" s="91" t="s">
        <v>603</v>
      </c>
      <c r="J185" s="46" t="s">
        <v>956</v>
      </c>
      <c r="K185" s="91" t="s">
        <v>603</v>
      </c>
      <c r="L185" s="158" t="s">
        <v>956</v>
      </c>
      <c r="M185" s="159" t="s">
        <v>84</v>
      </c>
    </row>
    <row r="186" spans="1:13">
      <c r="A186" s="19"/>
      <c r="B186" s="68" t="s">
        <v>957</v>
      </c>
      <c r="C186" s="46" t="s">
        <v>958</v>
      </c>
      <c r="D186" s="91" t="s">
        <v>153</v>
      </c>
      <c r="E186" s="46" t="s">
        <v>958</v>
      </c>
      <c r="F186" s="91" t="s">
        <v>153</v>
      </c>
      <c r="H186" s="46" t="s">
        <v>958</v>
      </c>
      <c r="I186" s="91" t="s">
        <v>153</v>
      </c>
      <c r="J186" s="46" t="s">
        <v>958</v>
      </c>
      <c r="K186" s="91" t="s">
        <v>153</v>
      </c>
      <c r="L186" s="158" t="s">
        <v>958</v>
      </c>
      <c r="M186" s="159" t="s">
        <v>84</v>
      </c>
    </row>
    <row r="187" spans="1:13">
      <c r="A187" s="19"/>
      <c r="B187" s="68" t="s">
        <v>959</v>
      </c>
      <c r="C187" s="46" t="s">
        <v>960</v>
      </c>
      <c r="D187" s="91" t="s">
        <v>153</v>
      </c>
      <c r="E187" s="46" t="s">
        <v>960</v>
      </c>
      <c r="F187" s="91" t="s">
        <v>153</v>
      </c>
      <c r="H187" s="46" t="s">
        <v>960</v>
      </c>
      <c r="I187" s="91" t="s">
        <v>153</v>
      </c>
      <c r="J187" s="46" t="s">
        <v>960</v>
      </c>
      <c r="K187" s="91" t="s">
        <v>153</v>
      </c>
      <c r="L187" s="158" t="s">
        <v>960</v>
      </c>
      <c r="M187" s="159" t="s">
        <v>84</v>
      </c>
    </row>
    <row r="188" spans="1:13">
      <c r="A188" s="19"/>
      <c r="B188" s="68" t="s">
        <v>961</v>
      </c>
      <c r="C188" s="46" t="s">
        <v>962</v>
      </c>
      <c r="D188" s="91" t="s">
        <v>153</v>
      </c>
      <c r="E188" s="46" t="s">
        <v>962</v>
      </c>
      <c r="F188" s="91" t="s">
        <v>153</v>
      </c>
      <c r="H188" s="46" t="s">
        <v>962</v>
      </c>
      <c r="I188" s="91" t="s">
        <v>153</v>
      </c>
      <c r="J188" s="46" t="s">
        <v>962</v>
      </c>
      <c r="K188" s="91" t="s">
        <v>153</v>
      </c>
      <c r="L188" s="158" t="s">
        <v>962</v>
      </c>
      <c r="M188" s="159" t="s">
        <v>84</v>
      </c>
    </row>
    <row r="189" spans="1:13">
      <c r="A189" s="19"/>
      <c r="B189" s="68" t="s">
        <v>547</v>
      </c>
      <c r="C189" s="46" t="s">
        <v>546</v>
      </c>
      <c r="D189" s="91" t="s">
        <v>288</v>
      </c>
      <c r="E189" s="46" t="s">
        <v>546</v>
      </c>
      <c r="F189" s="91" t="s">
        <v>288</v>
      </c>
      <c r="H189" s="46" t="s">
        <v>546</v>
      </c>
      <c r="I189" s="91" t="s">
        <v>288</v>
      </c>
      <c r="J189" s="46" t="s">
        <v>546</v>
      </c>
      <c r="K189" s="91" t="s">
        <v>288</v>
      </c>
      <c r="L189" s="158" t="s">
        <v>546</v>
      </c>
      <c r="M189" s="159" t="s">
        <v>288</v>
      </c>
    </row>
    <row r="190" spans="1:13">
      <c r="A190" s="19"/>
      <c r="B190" s="68" t="s">
        <v>211</v>
      </c>
      <c r="C190" s="46" t="s">
        <v>212</v>
      </c>
      <c r="D190" s="91" t="s">
        <v>135</v>
      </c>
      <c r="E190" s="46" t="s">
        <v>212</v>
      </c>
      <c r="F190" s="91" t="s">
        <v>135</v>
      </c>
      <c r="H190" s="46" t="s">
        <v>212</v>
      </c>
      <c r="I190" s="91" t="s">
        <v>135</v>
      </c>
      <c r="J190" s="46" t="s">
        <v>212</v>
      </c>
      <c r="K190" s="91" t="s">
        <v>135</v>
      </c>
      <c r="L190" s="158" t="s">
        <v>212</v>
      </c>
      <c r="M190" s="159" t="s">
        <v>135</v>
      </c>
    </row>
    <row r="191" spans="1:13">
      <c r="A191" s="19"/>
      <c r="B191" s="68" t="s">
        <v>353</v>
      </c>
      <c r="C191" s="46" t="s">
        <v>352</v>
      </c>
      <c r="D191" s="91" t="s">
        <v>1</v>
      </c>
      <c r="E191" s="46" t="s">
        <v>352</v>
      </c>
      <c r="F191" s="91" t="s">
        <v>1</v>
      </c>
      <c r="H191" s="46" t="s">
        <v>352</v>
      </c>
      <c r="I191" s="91" t="s">
        <v>1</v>
      </c>
      <c r="J191" s="46" t="s">
        <v>352</v>
      </c>
      <c r="K191" s="91" t="s">
        <v>1</v>
      </c>
      <c r="L191" s="158" t="s">
        <v>352</v>
      </c>
      <c r="M191" s="159" t="s">
        <v>1</v>
      </c>
    </row>
    <row r="192" spans="1:13">
      <c r="A192" s="19"/>
      <c r="B192" s="68" t="s">
        <v>355</v>
      </c>
      <c r="C192" s="46" t="s">
        <v>354</v>
      </c>
      <c r="D192" s="91" t="s">
        <v>84</v>
      </c>
      <c r="E192" s="46" t="s">
        <v>354</v>
      </c>
      <c r="F192" s="91" t="s">
        <v>84</v>
      </c>
      <c r="H192" s="46" t="s">
        <v>354</v>
      </c>
      <c r="I192" s="91" t="s">
        <v>84</v>
      </c>
      <c r="J192" s="46" t="s">
        <v>354</v>
      </c>
      <c r="K192" s="91" t="s">
        <v>84</v>
      </c>
      <c r="L192" s="158" t="s">
        <v>354</v>
      </c>
      <c r="M192" s="159" t="s">
        <v>84</v>
      </c>
    </row>
    <row r="193" spans="1:13">
      <c r="A193" s="19"/>
      <c r="B193" s="68" t="s">
        <v>356</v>
      </c>
      <c r="C193" s="46" t="s">
        <v>974</v>
      </c>
      <c r="D193" s="91" t="s">
        <v>84</v>
      </c>
      <c r="E193" s="46" t="s">
        <v>974</v>
      </c>
      <c r="F193" s="91" t="s">
        <v>84</v>
      </c>
      <c r="H193" s="46" t="s">
        <v>974</v>
      </c>
      <c r="I193" s="91" t="s">
        <v>84</v>
      </c>
      <c r="J193" s="46" t="s">
        <v>974</v>
      </c>
      <c r="K193" s="91" t="s">
        <v>84</v>
      </c>
      <c r="L193" s="158" t="s">
        <v>974</v>
      </c>
      <c r="M193" s="159" t="s">
        <v>84</v>
      </c>
    </row>
    <row r="194" spans="1:13">
      <c r="A194" s="19"/>
      <c r="B194" s="68" t="s">
        <v>358</v>
      </c>
      <c r="C194" s="46" t="s">
        <v>357</v>
      </c>
      <c r="D194" s="91" t="s">
        <v>84</v>
      </c>
      <c r="E194" s="46" t="s">
        <v>357</v>
      </c>
      <c r="F194" s="91" t="s">
        <v>84</v>
      </c>
      <c r="H194" s="46" t="s">
        <v>357</v>
      </c>
      <c r="I194" s="91" t="s">
        <v>84</v>
      </c>
      <c r="J194" s="46" t="s">
        <v>357</v>
      </c>
      <c r="K194" s="91" t="s">
        <v>84</v>
      </c>
      <c r="L194" s="158" t="s">
        <v>357</v>
      </c>
      <c r="M194" s="159" t="s">
        <v>84</v>
      </c>
    </row>
    <row r="195" spans="1:13">
      <c r="A195" s="19"/>
      <c r="B195" s="68" t="s">
        <v>363</v>
      </c>
      <c r="C195" s="46" t="s">
        <v>362</v>
      </c>
      <c r="D195" s="91" t="s">
        <v>137</v>
      </c>
      <c r="E195" s="46" t="s">
        <v>362</v>
      </c>
      <c r="F195" s="91" t="s">
        <v>137</v>
      </c>
      <c r="H195" s="46" t="s">
        <v>362</v>
      </c>
      <c r="I195" s="91" t="s">
        <v>137</v>
      </c>
      <c r="J195" s="46" t="s">
        <v>362</v>
      </c>
      <c r="K195" s="91" t="s">
        <v>137</v>
      </c>
      <c r="L195" s="158" t="s">
        <v>362</v>
      </c>
      <c r="M195" s="159" t="s">
        <v>137</v>
      </c>
    </row>
    <row r="196" spans="1:13">
      <c r="A196" s="19"/>
      <c r="B196" s="68" t="s">
        <v>472</v>
      </c>
      <c r="C196" s="46" t="s">
        <v>471</v>
      </c>
      <c r="D196" s="91" t="s">
        <v>1051</v>
      </c>
      <c r="E196" s="46" t="s">
        <v>471</v>
      </c>
      <c r="F196" s="91" t="s">
        <v>1051</v>
      </c>
      <c r="H196" s="46" t="s">
        <v>471</v>
      </c>
      <c r="I196" s="91" t="s">
        <v>1051</v>
      </c>
      <c r="J196" s="46" t="s">
        <v>471</v>
      </c>
      <c r="K196" s="91" t="s">
        <v>1051</v>
      </c>
      <c r="L196" s="158" t="s">
        <v>471</v>
      </c>
      <c r="M196" s="159" t="s">
        <v>1109</v>
      </c>
    </row>
    <row r="197" spans="1:13">
      <c r="A197" s="19"/>
      <c r="B197" s="68" t="s">
        <v>280</v>
      </c>
      <c r="C197" s="46" t="s">
        <v>281</v>
      </c>
      <c r="D197" s="91" t="s">
        <v>84</v>
      </c>
      <c r="E197" s="46" t="s">
        <v>281</v>
      </c>
      <c r="F197" s="91" t="s">
        <v>84</v>
      </c>
      <c r="H197" s="46" t="s">
        <v>281</v>
      </c>
      <c r="I197" s="91" t="s">
        <v>84</v>
      </c>
      <c r="J197" s="46" t="s">
        <v>281</v>
      </c>
      <c r="K197" s="91" t="s">
        <v>84</v>
      </c>
      <c r="L197" s="158" t="s">
        <v>281</v>
      </c>
      <c r="M197" s="159" t="s">
        <v>84</v>
      </c>
    </row>
    <row r="198" spans="1:13">
      <c r="A198" s="19"/>
      <c r="B198" s="68" t="s">
        <v>282</v>
      </c>
      <c r="C198" s="46" t="s">
        <v>283</v>
      </c>
      <c r="D198" s="91" t="s">
        <v>1</v>
      </c>
      <c r="E198" s="46" t="s">
        <v>283</v>
      </c>
      <c r="F198" s="91" t="s">
        <v>1</v>
      </c>
      <c r="H198" s="46" t="s">
        <v>283</v>
      </c>
      <c r="I198" s="91" t="s">
        <v>1</v>
      </c>
      <c r="J198" s="46" t="s">
        <v>283</v>
      </c>
      <c r="K198" s="91" t="s">
        <v>1</v>
      </c>
      <c r="L198" s="158" t="s">
        <v>283</v>
      </c>
      <c r="M198" s="159" t="s">
        <v>1</v>
      </c>
    </row>
    <row r="199" spans="1:13">
      <c r="A199" s="19"/>
      <c r="B199" s="68" t="s">
        <v>284</v>
      </c>
      <c r="C199" s="46" t="s">
        <v>975</v>
      </c>
      <c r="D199" s="91" t="s">
        <v>84</v>
      </c>
      <c r="E199" s="46" t="s">
        <v>975</v>
      </c>
      <c r="F199" s="91" t="s">
        <v>84</v>
      </c>
      <c r="H199" s="46" t="s">
        <v>975</v>
      </c>
      <c r="I199" s="91" t="s">
        <v>84</v>
      </c>
      <c r="J199" s="46" t="s">
        <v>975</v>
      </c>
      <c r="K199" s="91" t="s">
        <v>84</v>
      </c>
      <c r="L199" s="158" t="s">
        <v>975</v>
      </c>
      <c r="M199" s="159" t="s">
        <v>84</v>
      </c>
    </row>
    <row r="200" spans="1:13">
      <c r="A200" s="19"/>
      <c r="B200" s="68" t="s">
        <v>372</v>
      </c>
      <c r="C200" s="46" t="s">
        <v>371</v>
      </c>
      <c r="D200" s="91" t="s">
        <v>84</v>
      </c>
      <c r="E200" s="46" t="s">
        <v>371</v>
      </c>
      <c r="F200" s="91" t="s">
        <v>84</v>
      </c>
      <c r="H200" s="46" t="s">
        <v>371</v>
      </c>
      <c r="I200" s="91" t="s">
        <v>84</v>
      </c>
      <c r="J200" s="46" t="s">
        <v>371</v>
      </c>
      <c r="K200" s="91" t="s">
        <v>84</v>
      </c>
      <c r="L200" s="158" t="s">
        <v>371</v>
      </c>
      <c r="M200" s="159" t="s">
        <v>84</v>
      </c>
    </row>
    <row r="201" spans="1:13">
      <c r="A201" s="19"/>
      <c r="B201" s="68" t="s">
        <v>474</v>
      </c>
      <c r="C201" s="46" t="s">
        <v>473</v>
      </c>
      <c r="D201" s="91" t="s">
        <v>1052</v>
      </c>
      <c r="E201" s="46" t="s">
        <v>473</v>
      </c>
      <c r="F201" s="91" t="s">
        <v>1052</v>
      </c>
      <c r="H201" s="46" t="s">
        <v>473</v>
      </c>
      <c r="I201" s="91" t="s">
        <v>1052</v>
      </c>
      <c r="J201" s="46" t="s">
        <v>473</v>
      </c>
      <c r="K201" s="91" t="s">
        <v>1052</v>
      </c>
      <c r="L201" s="158" t="s">
        <v>473</v>
      </c>
      <c r="M201" s="159" t="s">
        <v>1110</v>
      </c>
    </row>
    <row r="202" spans="1:13">
      <c r="A202" s="19"/>
      <c r="B202" s="68" t="s">
        <v>374</v>
      </c>
      <c r="C202" s="46" t="s">
        <v>373</v>
      </c>
      <c r="D202" s="91" t="s">
        <v>1</v>
      </c>
      <c r="E202" s="46" t="s">
        <v>373</v>
      </c>
      <c r="F202" s="91" t="s">
        <v>1</v>
      </c>
      <c r="H202" s="46" t="s">
        <v>373</v>
      </c>
      <c r="I202" s="91" t="s">
        <v>1</v>
      </c>
      <c r="J202" s="46" t="s">
        <v>373</v>
      </c>
      <c r="K202" s="91" t="s">
        <v>1</v>
      </c>
      <c r="L202" s="158" t="s">
        <v>373</v>
      </c>
      <c r="M202" s="159" t="s">
        <v>84</v>
      </c>
    </row>
    <row r="203" spans="1:13">
      <c r="A203" s="19"/>
      <c r="B203" s="68" t="s">
        <v>594</v>
      </c>
      <c r="C203" s="46" t="s">
        <v>963</v>
      </c>
      <c r="D203" s="91" t="s">
        <v>84</v>
      </c>
      <c r="E203" s="46" t="s">
        <v>963</v>
      </c>
      <c r="F203" s="91" t="s">
        <v>84</v>
      </c>
      <c r="H203" s="46" t="s">
        <v>963</v>
      </c>
      <c r="I203" s="91" t="s">
        <v>84</v>
      </c>
      <c r="J203" s="46" t="s">
        <v>963</v>
      </c>
      <c r="K203" s="91" t="s">
        <v>84</v>
      </c>
      <c r="L203" s="158" t="s">
        <v>963</v>
      </c>
      <c r="M203" s="159" t="s">
        <v>1111</v>
      </c>
    </row>
    <row r="204" spans="1:13">
      <c r="A204" s="19"/>
      <c r="B204" s="68" t="s">
        <v>478</v>
      </c>
      <c r="C204" s="46" t="s">
        <v>477</v>
      </c>
      <c r="D204" s="91" t="s">
        <v>1</v>
      </c>
      <c r="E204" s="46" t="s">
        <v>477</v>
      </c>
      <c r="F204" s="91" t="s">
        <v>1</v>
      </c>
      <c r="H204" s="46" t="s">
        <v>477</v>
      </c>
      <c r="I204" s="91" t="s">
        <v>1</v>
      </c>
      <c r="J204" s="46" t="s">
        <v>477</v>
      </c>
      <c r="K204" s="91" t="s">
        <v>1</v>
      </c>
      <c r="L204" s="158" t="s">
        <v>477</v>
      </c>
      <c r="M204" s="159" t="s">
        <v>99</v>
      </c>
    </row>
    <row r="205" spans="1:13">
      <c r="A205" s="19"/>
      <c r="B205" s="68"/>
      <c r="C205" s="46" t="s">
        <v>667</v>
      </c>
      <c r="D205" s="91" t="s">
        <v>153</v>
      </c>
      <c r="E205" s="46" t="s">
        <v>667</v>
      </c>
      <c r="F205" s="91" t="s">
        <v>153</v>
      </c>
      <c r="H205" s="46" t="s">
        <v>667</v>
      </c>
      <c r="I205" s="91" t="s">
        <v>153</v>
      </c>
      <c r="J205" s="46" t="s">
        <v>667</v>
      </c>
      <c r="K205" s="91" t="s">
        <v>153</v>
      </c>
      <c r="L205" s="158" t="s">
        <v>667</v>
      </c>
      <c r="M205" s="159" t="s">
        <v>153</v>
      </c>
    </row>
    <row r="206" spans="1:13" ht="15.75" thickBot="1">
      <c r="A206" s="84"/>
      <c r="B206" s="90" t="s">
        <v>387</v>
      </c>
      <c r="C206" s="89" t="s">
        <v>231</v>
      </c>
      <c r="D206" s="92" t="s">
        <v>84</v>
      </c>
      <c r="E206" s="89" t="s">
        <v>231</v>
      </c>
      <c r="F206" s="92" t="s">
        <v>84</v>
      </c>
      <c r="H206" s="89" t="s">
        <v>231</v>
      </c>
      <c r="I206" s="92" t="s">
        <v>84</v>
      </c>
      <c r="J206" s="89" t="s">
        <v>231</v>
      </c>
      <c r="K206" s="92" t="s">
        <v>84</v>
      </c>
      <c r="L206" s="156" t="s">
        <v>231</v>
      </c>
      <c r="M206" s="157" t="s">
        <v>84</v>
      </c>
    </row>
    <row r="207" spans="1:13">
      <c r="C207" s="8"/>
      <c r="D207" s="8"/>
      <c r="E207" s="8"/>
      <c r="F207" s="8"/>
      <c r="H207" s="8"/>
      <c r="I207" s="8"/>
      <c r="J207" s="8"/>
      <c r="K207" s="8"/>
      <c r="L207" s="8"/>
      <c r="M207" s="8"/>
    </row>
    <row r="208" spans="1:13" s="78" customFormat="1">
      <c r="A208" s="180"/>
      <c r="B208" s="181"/>
      <c r="C208" s="104" t="s">
        <v>1053</v>
      </c>
      <c r="D208" s="105"/>
      <c r="E208" s="104" t="s">
        <v>1053</v>
      </c>
      <c r="F208" s="126"/>
      <c r="G208" s="122" t="s">
        <v>978</v>
      </c>
      <c r="H208" s="104" t="s">
        <v>1053</v>
      </c>
      <c r="I208" s="105"/>
      <c r="J208" s="105" t="s">
        <v>1053</v>
      </c>
      <c r="K208" s="105"/>
      <c r="L208" s="105" t="s">
        <v>1112</v>
      </c>
      <c r="M208" s="126"/>
    </row>
    <row r="209" spans="1:13">
      <c r="A209" s="182"/>
      <c r="B209" s="183"/>
      <c r="C209" s="106" t="s">
        <v>25</v>
      </c>
      <c r="D209" s="107"/>
      <c r="E209" s="106" t="s">
        <v>25</v>
      </c>
      <c r="F209" s="127"/>
      <c r="G209" s="122" t="s">
        <v>978</v>
      </c>
      <c r="H209" s="106" t="s">
        <v>1117</v>
      </c>
      <c r="I209" s="107"/>
      <c r="J209" s="106" t="s">
        <v>1118</v>
      </c>
      <c r="K209" s="107"/>
      <c r="L209" s="107" t="s">
        <v>25</v>
      </c>
      <c r="M209" s="127"/>
    </row>
    <row r="210" spans="1:13">
      <c r="A210" s="182"/>
      <c r="B210" s="183"/>
      <c r="C210" s="106" t="s">
        <v>1054</v>
      </c>
      <c r="D210" s="107"/>
      <c r="E210" s="106" t="s">
        <v>1054</v>
      </c>
      <c r="F210" s="127"/>
      <c r="G210" s="122" t="s">
        <v>978</v>
      </c>
      <c r="H210" s="106" t="s">
        <v>1054</v>
      </c>
      <c r="I210" s="107"/>
      <c r="J210" s="107" t="s">
        <v>1054</v>
      </c>
      <c r="K210" s="107"/>
      <c r="L210" s="107" t="s">
        <v>1113</v>
      </c>
      <c r="M210" s="127"/>
    </row>
    <row r="211" spans="1:13">
      <c r="A211" s="182"/>
      <c r="B211" s="183"/>
      <c r="C211" s="106" t="s">
        <v>1064</v>
      </c>
      <c r="D211" s="107"/>
      <c r="E211" s="106" t="s">
        <v>1065</v>
      </c>
      <c r="F211" s="127"/>
      <c r="G211" s="122" t="s">
        <v>978</v>
      </c>
      <c r="H211" s="106" t="s">
        <v>1065</v>
      </c>
      <c r="I211" s="107"/>
      <c r="J211" s="107" t="s">
        <v>1064</v>
      </c>
      <c r="K211" s="107"/>
      <c r="L211" s="107" t="s">
        <v>1114</v>
      </c>
      <c r="M211" s="127"/>
    </row>
    <row r="212" spans="1:13">
      <c r="A212" s="182"/>
      <c r="B212" s="183"/>
      <c r="C212" s="106" t="s">
        <v>977</v>
      </c>
      <c r="D212" s="107"/>
      <c r="E212" s="106" t="s">
        <v>977</v>
      </c>
      <c r="F212" s="127"/>
      <c r="G212" s="122" t="s">
        <v>978</v>
      </c>
      <c r="H212" s="106" t="s">
        <v>1115</v>
      </c>
      <c r="I212" s="107"/>
      <c r="J212" s="106" t="s">
        <v>1116</v>
      </c>
      <c r="K212" s="107"/>
      <c r="L212" s="107" t="s">
        <v>977</v>
      </c>
      <c r="M212" s="160"/>
    </row>
    <row r="213" spans="1:13">
      <c r="A213" s="184"/>
      <c r="B213" s="185"/>
      <c r="C213" s="108"/>
      <c r="D213" s="109"/>
      <c r="E213" s="108"/>
      <c r="F213" s="128"/>
      <c r="G213" s="122" t="s">
        <v>978</v>
      </c>
      <c r="H213" s="108" t="s">
        <v>977</v>
      </c>
      <c r="I213" s="109"/>
      <c r="J213" s="109" t="s">
        <v>977</v>
      </c>
      <c r="K213" s="109"/>
      <c r="L213" s="161"/>
      <c r="M213" s="162"/>
    </row>
    <row r="214" spans="1:13">
      <c r="C214" s="8"/>
      <c r="D214" s="8"/>
      <c r="E214" s="8"/>
      <c r="F214" s="8"/>
      <c r="H214" s="8"/>
      <c r="I214" s="8"/>
      <c r="J214" s="8"/>
      <c r="K214" s="8"/>
      <c r="L214" s="8"/>
      <c r="M214" s="8"/>
    </row>
    <row r="215" spans="1:13">
      <c r="C215" s="8"/>
      <c r="D215" s="8"/>
      <c r="E215" s="8"/>
      <c r="F215" s="8"/>
      <c r="H215" s="8"/>
      <c r="I215" s="8"/>
      <c r="J215" s="8"/>
      <c r="K215" s="8"/>
      <c r="L215" s="8"/>
      <c r="M215" s="8"/>
    </row>
    <row r="216" spans="1:13">
      <c r="C216" s="8"/>
      <c r="D216" s="8"/>
      <c r="E216" s="8"/>
      <c r="F216" s="8"/>
      <c r="H216" s="8"/>
      <c r="I216" s="8"/>
      <c r="J216" s="8"/>
      <c r="K216" s="8"/>
      <c r="L216" s="8"/>
      <c r="M216" s="8"/>
    </row>
    <row r="217" spans="1:13">
      <c r="C217" s="8"/>
      <c r="D217" s="8"/>
      <c r="E217" s="8"/>
      <c r="F217" s="8"/>
      <c r="H217" s="8"/>
      <c r="I217" s="8"/>
      <c r="J217" s="8"/>
      <c r="K217" s="8"/>
      <c r="L217" s="8"/>
      <c r="M217" s="8"/>
    </row>
    <row r="218" spans="1:13">
      <c r="C218" s="8"/>
      <c r="D218" s="8"/>
      <c r="E218" s="8"/>
      <c r="F218" s="8"/>
      <c r="H218" s="8"/>
      <c r="I218" s="8"/>
      <c r="J218" s="8"/>
      <c r="K218" s="8"/>
      <c r="L218" s="8"/>
      <c r="M218" s="8"/>
    </row>
    <row r="219" spans="1:13">
      <c r="C219" s="8"/>
      <c r="D219" s="8"/>
      <c r="E219" s="8"/>
      <c r="F219" s="8"/>
      <c r="H219" s="8"/>
      <c r="I219" s="8"/>
      <c r="J219" s="8"/>
      <c r="K219" s="8"/>
      <c r="L219" s="8"/>
      <c r="M219" s="8"/>
    </row>
    <row r="220" spans="1:13">
      <c r="C220" s="8"/>
      <c r="D220" s="8"/>
      <c r="E220" s="8"/>
      <c r="F220" s="8"/>
      <c r="H220" s="8"/>
      <c r="I220" s="8"/>
      <c r="J220" s="8"/>
      <c r="K220" s="8"/>
      <c r="L220" s="8"/>
      <c r="M220" s="8"/>
    </row>
    <row r="221" spans="1:13">
      <c r="C221" s="8"/>
      <c r="D221" s="8"/>
      <c r="E221" s="8"/>
      <c r="F221" s="8"/>
      <c r="H221" s="8"/>
      <c r="I221" s="8"/>
      <c r="J221" s="8"/>
      <c r="K221" s="8"/>
      <c r="L221" s="8"/>
      <c r="M221" s="8"/>
    </row>
    <row r="222" spans="1:13">
      <c r="C222" s="8"/>
      <c r="D222" s="8"/>
      <c r="E222" s="8"/>
      <c r="F222" s="8"/>
      <c r="H222" s="8"/>
      <c r="I222" s="8"/>
      <c r="J222" s="8"/>
      <c r="K222" s="8"/>
      <c r="L222" s="8"/>
      <c r="M222" s="8"/>
    </row>
    <row r="223" spans="1:13">
      <c r="C223" s="8"/>
      <c r="D223" s="8"/>
      <c r="E223" s="8"/>
      <c r="F223" s="8"/>
      <c r="H223" s="8"/>
      <c r="I223" s="8"/>
      <c r="J223" s="8"/>
      <c r="K223" s="8"/>
      <c r="L223" s="8"/>
      <c r="M223" s="8"/>
    </row>
    <row r="224" spans="1:13">
      <c r="C224" s="8"/>
      <c r="D224" s="8"/>
      <c r="E224" s="8"/>
      <c r="F224" s="8"/>
      <c r="H224" s="8"/>
      <c r="I224" s="8"/>
      <c r="J224" s="8"/>
      <c r="K224" s="8"/>
      <c r="L224" s="8"/>
      <c r="M224" s="8"/>
    </row>
    <row r="225" spans="3:13">
      <c r="C225" s="8"/>
      <c r="D225" s="8"/>
      <c r="E225" s="8"/>
      <c r="F225" s="8"/>
      <c r="H225" s="8"/>
      <c r="I225" s="8"/>
      <c r="J225" s="8"/>
      <c r="K225" s="8"/>
      <c r="L225" s="8"/>
      <c r="M225" s="8"/>
    </row>
    <row r="226" spans="3:13">
      <c r="C226" s="8"/>
      <c r="D226" s="8"/>
      <c r="E226" s="8"/>
      <c r="F226" s="8"/>
      <c r="H226" s="8"/>
      <c r="I226" s="8"/>
      <c r="J226" s="8"/>
      <c r="K226" s="8"/>
      <c r="L226" s="8"/>
      <c r="M226" s="8"/>
    </row>
    <row r="227" spans="3:13">
      <c r="C227" s="8"/>
      <c r="D227" s="8"/>
      <c r="E227" s="8"/>
      <c r="F227" s="8"/>
      <c r="H227" s="8"/>
      <c r="I227" s="8"/>
      <c r="J227" s="8"/>
      <c r="K227" s="8"/>
      <c r="L227" s="8"/>
      <c r="M227" s="8"/>
    </row>
    <row r="228" spans="3:13">
      <c r="C228" s="8"/>
      <c r="D228" s="8"/>
      <c r="E228" s="8"/>
      <c r="F228" s="8"/>
      <c r="H228" s="8"/>
      <c r="I228" s="8"/>
      <c r="J228" s="8"/>
      <c r="K228" s="8"/>
      <c r="L228" s="8"/>
      <c r="M228" s="8"/>
    </row>
    <row r="229" spans="3:13">
      <c r="C229" s="8"/>
      <c r="D229" s="8"/>
      <c r="E229" s="8"/>
      <c r="F229" s="8"/>
      <c r="H229" s="8"/>
      <c r="I229" s="8"/>
      <c r="J229" s="8"/>
      <c r="K229" s="8"/>
      <c r="L229" s="8"/>
      <c r="M229" s="8"/>
    </row>
    <row r="230" spans="3:13">
      <c r="C230" s="8"/>
      <c r="D230" s="8"/>
      <c r="E230" s="8"/>
      <c r="F230" s="8"/>
      <c r="H230" s="8"/>
      <c r="I230" s="8"/>
      <c r="J230" s="8"/>
      <c r="K230" s="8"/>
      <c r="L230" s="8"/>
      <c r="M230" s="8"/>
    </row>
    <row r="231" spans="3:13">
      <c r="C231" s="8"/>
      <c r="D231" s="8"/>
      <c r="E231" s="8"/>
      <c r="F231" s="8"/>
      <c r="H231" s="8"/>
      <c r="I231" s="8"/>
      <c r="J231" s="8"/>
      <c r="K231" s="8"/>
      <c r="L231" s="8"/>
      <c r="M231" s="8"/>
    </row>
    <row r="232" spans="3:13">
      <c r="C232" s="8"/>
      <c r="D232" s="8"/>
      <c r="E232" s="8"/>
      <c r="F232" s="8"/>
      <c r="H232" s="8"/>
      <c r="I232" s="8"/>
      <c r="J232" s="8"/>
      <c r="K232" s="8"/>
      <c r="L232" s="8"/>
      <c r="M232" s="8"/>
    </row>
    <row r="233" spans="3:13">
      <c r="C233" s="8"/>
      <c r="D233" s="8"/>
      <c r="E233" s="8"/>
      <c r="F233" s="8"/>
      <c r="H233" s="8"/>
      <c r="I233" s="8"/>
      <c r="J233" s="8"/>
      <c r="K233" s="8"/>
      <c r="L233" s="8"/>
      <c r="M233" s="8"/>
    </row>
    <row r="234" spans="3:13">
      <c r="C234" s="8"/>
      <c r="D234" s="8"/>
      <c r="E234" s="8"/>
      <c r="F234" s="8"/>
      <c r="H234" s="8"/>
      <c r="I234" s="8"/>
      <c r="J234" s="8"/>
      <c r="K234" s="8"/>
      <c r="L234" s="8"/>
      <c r="M234" s="8"/>
    </row>
    <row r="235" spans="3:13">
      <c r="C235" s="8"/>
      <c r="D235" s="8"/>
      <c r="E235" s="8"/>
      <c r="F235" s="8"/>
      <c r="H235" s="8"/>
      <c r="I235" s="8"/>
      <c r="J235" s="8"/>
      <c r="K235" s="8"/>
      <c r="L235" s="8"/>
      <c r="M235" s="8"/>
    </row>
    <row r="236" spans="3:13">
      <c r="C236" s="8"/>
      <c r="D236" s="8"/>
      <c r="E236" s="8"/>
      <c r="F236" s="8"/>
      <c r="H236" s="8"/>
      <c r="I236" s="8"/>
      <c r="J236" s="8"/>
      <c r="K236" s="8"/>
      <c r="L236" s="8"/>
      <c r="M236" s="8"/>
    </row>
    <row r="237" spans="3:13">
      <c r="C237" s="8"/>
      <c r="D237" s="8"/>
      <c r="E237" s="8"/>
      <c r="F237" s="8"/>
      <c r="H237" s="8"/>
      <c r="I237" s="8"/>
      <c r="J237" s="8"/>
      <c r="K237" s="8"/>
      <c r="L237" s="8"/>
      <c r="M237" s="8"/>
    </row>
    <row r="238" spans="3:13">
      <c r="C238" s="8"/>
      <c r="D238" s="8"/>
      <c r="E238" s="8"/>
      <c r="F238" s="8"/>
      <c r="H238" s="8"/>
      <c r="I238" s="8"/>
      <c r="J238" s="8"/>
      <c r="K238" s="8"/>
      <c r="L238" s="8"/>
      <c r="M238" s="8"/>
    </row>
    <row r="239" spans="3:13">
      <c r="C239" s="8"/>
      <c r="D239" s="8"/>
      <c r="E239" s="8"/>
      <c r="F239" s="8"/>
      <c r="H239" s="8"/>
      <c r="I239" s="8"/>
      <c r="J239" s="8"/>
      <c r="K239" s="8"/>
      <c r="L239" s="8"/>
      <c r="M239" s="8"/>
    </row>
    <row r="240" spans="3:13">
      <c r="C240" s="8"/>
      <c r="D240" s="8"/>
      <c r="E240" s="8"/>
      <c r="F240" s="8"/>
      <c r="H240" s="8"/>
      <c r="I240" s="8"/>
      <c r="J240" s="8"/>
      <c r="K240" s="8"/>
      <c r="L240" s="8"/>
      <c r="M240" s="8"/>
    </row>
    <row r="241" spans="3:13">
      <c r="C241" s="8"/>
      <c r="D241" s="8"/>
      <c r="E241" s="8"/>
      <c r="F241" s="8"/>
      <c r="H241" s="8"/>
      <c r="I241" s="8"/>
      <c r="J241" s="8"/>
      <c r="K241" s="8"/>
      <c r="L241" s="8"/>
      <c r="M241" s="8"/>
    </row>
    <row r="242" spans="3:13">
      <c r="C242" s="8"/>
      <c r="D242" s="8"/>
      <c r="E242" s="8"/>
      <c r="F242" s="8"/>
      <c r="H242" s="8"/>
      <c r="I242" s="8"/>
      <c r="J242" s="8"/>
      <c r="K242" s="8"/>
      <c r="L242" s="8"/>
      <c r="M242" s="8"/>
    </row>
    <row r="243" spans="3:13">
      <c r="C243" s="8"/>
      <c r="D243" s="8"/>
      <c r="E243" s="8"/>
      <c r="F243" s="8"/>
      <c r="H243" s="8"/>
      <c r="I243" s="8"/>
      <c r="J243" s="8"/>
      <c r="K243" s="8"/>
      <c r="L243" s="8"/>
      <c r="M243" s="8"/>
    </row>
    <row r="244" spans="3:13">
      <c r="C244" s="8"/>
      <c r="D244" s="8"/>
      <c r="E244" s="8"/>
      <c r="F244" s="8"/>
      <c r="H244" s="8"/>
      <c r="I244" s="8"/>
      <c r="J244" s="8"/>
      <c r="K244" s="8"/>
      <c r="L244" s="8"/>
      <c r="M244" s="8"/>
    </row>
    <row r="245" spans="3:13">
      <c r="C245" s="8"/>
      <c r="D245" s="8"/>
      <c r="E245" s="8"/>
      <c r="F245" s="8"/>
      <c r="H245" s="8"/>
      <c r="I245" s="8"/>
      <c r="J245" s="8"/>
      <c r="K245" s="8"/>
      <c r="L245" s="8"/>
      <c r="M245" s="8"/>
    </row>
    <row r="246" spans="3:13">
      <c r="C246" s="8"/>
      <c r="D246" s="8"/>
      <c r="E246" s="8"/>
      <c r="F246" s="8"/>
      <c r="H246" s="8"/>
      <c r="I246" s="8"/>
      <c r="J246" s="8"/>
      <c r="K246" s="8"/>
      <c r="L246" s="8"/>
      <c r="M246" s="8"/>
    </row>
    <row r="247" spans="3:13">
      <c r="C247" s="8"/>
      <c r="D247" s="8"/>
      <c r="E247" s="8"/>
      <c r="F247" s="8"/>
      <c r="H247" s="8"/>
      <c r="I247" s="8"/>
      <c r="J247" s="8"/>
      <c r="K247" s="8"/>
      <c r="L247" s="8"/>
      <c r="M247" s="8"/>
    </row>
    <row r="248" spans="3:13">
      <c r="C248" s="8"/>
      <c r="D248" s="8"/>
      <c r="E248" s="8"/>
      <c r="F248" s="8"/>
      <c r="H248" s="8"/>
      <c r="I248" s="8"/>
      <c r="J248" s="8"/>
      <c r="K248" s="8"/>
      <c r="L248" s="8"/>
      <c r="M248" s="8"/>
    </row>
    <row r="249" spans="3:13">
      <c r="C249" s="8"/>
      <c r="D249" s="8"/>
      <c r="E249" s="8"/>
      <c r="F249" s="8"/>
      <c r="H249" s="8"/>
      <c r="I249" s="8"/>
      <c r="J249" s="8"/>
      <c r="K249" s="8"/>
      <c r="L249" s="8"/>
      <c r="M249" s="8"/>
    </row>
    <row r="250" spans="3:13">
      <c r="C250" s="8"/>
      <c r="D250" s="8"/>
      <c r="E250" s="8"/>
      <c r="F250" s="8"/>
      <c r="H250" s="8"/>
      <c r="I250" s="8"/>
      <c r="J250" s="8"/>
      <c r="K250" s="8"/>
      <c r="L250" s="8"/>
      <c r="M250" s="8"/>
    </row>
    <row r="251" spans="3:13">
      <c r="C251" s="8"/>
      <c r="D251" s="8"/>
      <c r="E251" s="8"/>
      <c r="F251" s="8"/>
      <c r="H251" s="8"/>
      <c r="I251" s="8"/>
      <c r="J251" s="8"/>
      <c r="K251" s="8"/>
      <c r="L251" s="8"/>
      <c r="M251" s="8"/>
    </row>
    <row r="252" spans="3:13">
      <c r="C252" s="8"/>
      <c r="D252" s="8"/>
      <c r="E252" s="8"/>
      <c r="F252" s="8"/>
      <c r="H252" s="8"/>
      <c r="I252" s="8"/>
      <c r="J252" s="8"/>
      <c r="K252" s="8"/>
      <c r="L252" s="8"/>
      <c r="M252" s="8"/>
    </row>
    <row r="253" spans="3:13">
      <c r="C253" s="8"/>
      <c r="D253" s="8"/>
      <c r="E253" s="8"/>
      <c r="F253" s="8"/>
      <c r="H253" s="8"/>
      <c r="I253" s="8"/>
      <c r="J253" s="8"/>
      <c r="K253" s="8"/>
      <c r="L253" s="8"/>
      <c r="M253" s="8"/>
    </row>
    <row r="254" spans="3:13">
      <c r="C254" s="8"/>
      <c r="D254" s="8"/>
      <c r="E254" s="8"/>
      <c r="F254" s="8"/>
      <c r="H254" s="8"/>
      <c r="I254" s="8"/>
      <c r="J254" s="8"/>
      <c r="K254" s="8"/>
      <c r="L254" s="8"/>
      <c r="M254" s="8"/>
    </row>
    <row r="255" spans="3:13">
      <c r="C255" s="8"/>
      <c r="D255" s="8"/>
      <c r="E255" s="8"/>
      <c r="F255" s="8"/>
      <c r="H255" s="8"/>
      <c r="I255" s="8"/>
      <c r="J255" s="8"/>
      <c r="K255" s="8"/>
      <c r="L255" s="8"/>
      <c r="M255" s="8"/>
    </row>
    <row r="256" spans="3:13">
      <c r="C256" s="8"/>
      <c r="D256" s="8"/>
      <c r="E256" s="8"/>
      <c r="F256" s="8"/>
      <c r="H256" s="8"/>
      <c r="I256" s="8"/>
      <c r="J256" s="8"/>
      <c r="K256" s="8"/>
      <c r="L256" s="8"/>
      <c r="M256" s="8"/>
    </row>
    <row r="257" spans="3:13">
      <c r="C257" s="8"/>
      <c r="D257" s="8"/>
      <c r="E257" s="8"/>
      <c r="F257" s="8"/>
      <c r="H257" s="8"/>
      <c r="I257" s="8"/>
      <c r="J257" s="8"/>
      <c r="K257" s="8"/>
      <c r="L257" s="8"/>
      <c r="M257" s="8"/>
    </row>
    <row r="258" spans="3:13">
      <c r="C258" s="8"/>
      <c r="D258" s="8"/>
      <c r="E258" s="8"/>
      <c r="F258" s="8"/>
      <c r="H258" s="8"/>
      <c r="I258" s="8"/>
      <c r="J258" s="8"/>
      <c r="K258" s="8"/>
      <c r="L258" s="8"/>
      <c r="M258" s="8"/>
    </row>
    <row r="259" spans="3:13">
      <c r="C259" s="8"/>
      <c r="D259" s="8"/>
      <c r="E259" s="8"/>
      <c r="F259" s="8"/>
      <c r="H259" s="8"/>
      <c r="I259" s="8"/>
      <c r="J259" s="8"/>
      <c r="K259" s="8"/>
      <c r="L259" s="8"/>
      <c r="M259" s="8"/>
    </row>
    <row r="260" spans="3:13">
      <c r="C260" s="8"/>
      <c r="D260" s="8"/>
      <c r="E260" s="8"/>
      <c r="F260" s="8"/>
      <c r="H260" s="8"/>
      <c r="I260" s="8"/>
      <c r="J260" s="8"/>
      <c r="K260" s="8"/>
      <c r="L260" s="8"/>
      <c r="M260" s="8"/>
    </row>
    <row r="261" spans="3:13">
      <c r="C261" s="8"/>
      <c r="D261" s="8"/>
      <c r="E261" s="8"/>
      <c r="F261" s="8"/>
      <c r="H261" s="8"/>
      <c r="I261" s="8"/>
      <c r="J261" s="8"/>
      <c r="K261" s="8"/>
      <c r="L261" s="8"/>
      <c r="M261" s="8"/>
    </row>
    <row r="262" spans="3:13">
      <c r="C262" s="8"/>
      <c r="D262" s="8"/>
      <c r="E262" s="8"/>
      <c r="F262" s="8"/>
      <c r="H262" s="8"/>
      <c r="I262" s="8"/>
      <c r="J262" s="8"/>
      <c r="K262" s="8"/>
      <c r="L262" s="8"/>
      <c r="M262" s="8"/>
    </row>
    <row r="263" spans="3:13">
      <c r="C263" s="8"/>
      <c r="D263" s="8"/>
      <c r="E263" s="8"/>
      <c r="F263" s="8"/>
      <c r="H263" s="8"/>
      <c r="I263" s="8"/>
      <c r="J263" s="8"/>
      <c r="K263" s="8"/>
      <c r="L263" s="8"/>
      <c r="M263" s="8"/>
    </row>
    <row r="264" spans="3:13">
      <c r="C264" s="8"/>
      <c r="D264" s="8"/>
      <c r="E264" s="8"/>
      <c r="F264" s="8"/>
      <c r="H264" s="8"/>
      <c r="I264" s="8"/>
      <c r="J264" s="8"/>
      <c r="K264" s="8"/>
      <c r="L264" s="8"/>
      <c r="M264" s="8"/>
    </row>
    <row r="265" spans="3:13">
      <c r="C265" s="8"/>
      <c r="D265" s="8"/>
      <c r="E265" s="8"/>
      <c r="F265" s="8"/>
      <c r="H265" s="8"/>
      <c r="I265" s="8"/>
      <c r="J265" s="8"/>
      <c r="K265" s="8"/>
      <c r="L265" s="8"/>
      <c r="M265" s="8"/>
    </row>
    <row r="266" spans="3:13">
      <c r="C266" s="8"/>
      <c r="D266" s="8"/>
      <c r="E266" s="8"/>
      <c r="F266" s="8"/>
      <c r="H266" s="8"/>
      <c r="I266" s="8"/>
      <c r="J266" s="8"/>
      <c r="K266" s="8"/>
      <c r="L266" s="8"/>
      <c r="M266" s="8"/>
    </row>
    <row r="267" spans="3:13">
      <c r="C267" s="8"/>
      <c r="D267" s="8"/>
      <c r="E267" s="8"/>
      <c r="F267" s="8"/>
      <c r="H267" s="8"/>
      <c r="I267" s="8"/>
      <c r="J267" s="8"/>
      <c r="K267" s="8"/>
      <c r="L267" s="8"/>
      <c r="M267" s="8"/>
    </row>
    <row r="268" spans="3:13">
      <c r="C268" s="8"/>
      <c r="D268" s="8"/>
      <c r="E268" s="8"/>
      <c r="F268" s="8"/>
      <c r="H268" s="8"/>
      <c r="I268" s="8"/>
      <c r="J268" s="8"/>
      <c r="K268" s="8"/>
      <c r="L268" s="8"/>
      <c r="M268" s="8"/>
    </row>
    <row r="269" spans="3:13">
      <c r="C269" s="8"/>
      <c r="D269" s="8"/>
      <c r="E269" s="8"/>
      <c r="F269" s="8"/>
      <c r="H269" s="8"/>
      <c r="I269" s="8"/>
      <c r="J269" s="8"/>
      <c r="K269" s="8"/>
      <c r="L269" s="8"/>
      <c r="M269" s="8"/>
    </row>
    <row r="270" spans="3:13">
      <c r="C270" s="8"/>
      <c r="D270" s="8"/>
      <c r="E270" s="8"/>
      <c r="F270" s="8"/>
      <c r="H270" s="8"/>
      <c r="I270" s="8"/>
      <c r="J270" s="8"/>
      <c r="K270" s="8"/>
      <c r="L270" s="8"/>
      <c r="M270" s="8"/>
    </row>
    <row r="271" spans="3:13">
      <c r="C271" s="8"/>
      <c r="D271" s="8"/>
      <c r="E271" s="8"/>
      <c r="F271" s="8"/>
      <c r="H271" s="8"/>
      <c r="I271" s="8"/>
      <c r="J271" s="8"/>
      <c r="K271" s="8"/>
      <c r="L271" s="8"/>
      <c r="M271" s="8"/>
    </row>
    <row r="272" spans="3:13">
      <c r="C272" s="8"/>
      <c r="D272" s="8"/>
      <c r="E272" s="8"/>
      <c r="F272" s="8"/>
      <c r="H272" s="8"/>
      <c r="I272" s="8"/>
      <c r="J272" s="8"/>
      <c r="K272" s="8"/>
      <c r="L272" s="8"/>
      <c r="M272" s="8"/>
    </row>
    <row r="273" spans="3:13">
      <c r="C273" s="8"/>
      <c r="D273" s="8"/>
      <c r="E273" s="8"/>
      <c r="F273" s="8"/>
      <c r="H273" s="8"/>
      <c r="I273" s="8"/>
      <c r="J273" s="8"/>
      <c r="K273" s="8"/>
      <c r="L273" s="8"/>
      <c r="M273" s="8"/>
    </row>
    <row r="274" spans="3:13">
      <c r="C274" s="8"/>
      <c r="D274" s="8"/>
      <c r="E274" s="8"/>
      <c r="F274" s="8"/>
      <c r="H274" s="8"/>
      <c r="I274" s="8"/>
      <c r="J274" s="8"/>
      <c r="K274" s="8"/>
      <c r="L274" s="8"/>
      <c r="M274" s="8"/>
    </row>
    <row r="275" spans="3:13">
      <c r="C275" s="8"/>
      <c r="D275" s="8"/>
      <c r="E275" s="8"/>
      <c r="F275" s="8"/>
      <c r="H275" s="8"/>
      <c r="I275" s="8"/>
      <c r="J275" s="8"/>
      <c r="K275" s="8"/>
      <c r="L275" s="8"/>
      <c r="M275" s="8"/>
    </row>
    <row r="276" spans="3:13">
      <c r="C276" s="8"/>
      <c r="D276" s="8"/>
      <c r="E276" s="8"/>
      <c r="F276" s="8"/>
      <c r="H276" s="8"/>
      <c r="I276" s="8"/>
      <c r="J276" s="8"/>
      <c r="K276" s="8"/>
      <c r="L276" s="8"/>
      <c r="M276" s="8"/>
    </row>
    <row r="277" spans="3:13">
      <c r="C277" s="8"/>
      <c r="D277" s="8"/>
      <c r="E277" s="8"/>
      <c r="F277" s="8"/>
      <c r="H277" s="8"/>
      <c r="I277" s="8"/>
      <c r="J277" s="8"/>
      <c r="K277" s="8"/>
      <c r="L277" s="8"/>
      <c r="M277" s="8"/>
    </row>
    <row r="278" spans="3:13">
      <c r="C278" s="8"/>
      <c r="D278" s="8"/>
      <c r="E278" s="8"/>
      <c r="F278" s="8"/>
      <c r="H278" s="8"/>
      <c r="I278" s="8"/>
      <c r="J278" s="8"/>
      <c r="K278" s="8"/>
      <c r="L278" s="8"/>
      <c r="M278" s="8"/>
    </row>
    <row r="279" spans="3:13">
      <c r="C279" s="8"/>
      <c r="D279" s="8"/>
      <c r="E279" s="8"/>
      <c r="F279" s="8"/>
      <c r="H279" s="8"/>
      <c r="I279" s="8"/>
      <c r="J279" s="8"/>
      <c r="K279" s="8"/>
      <c r="L279" s="8"/>
      <c r="M279" s="8"/>
    </row>
    <row r="280" spans="3:13">
      <c r="C280" s="8"/>
      <c r="D280" s="8"/>
      <c r="E280" s="8"/>
      <c r="F280" s="8"/>
      <c r="H280" s="8"/>
      <c r="I280" s="8"/>
      <c r="J280" s="8"/>
      <c r="K280" s="8"/>
      <c r="L280" s="8"/>
      <c r="M280" s="8"/>
    </row>
    <row r="281" spans="3:13">
      <c r="C281" s="8"/>
      <c r="D281" s="8"/>
      <c r="E281" s="8"/>
      <c r="F281" s="8"/>
      <c r="H281" s="8"/>
      <c r="I281" s="8"/>
      <c r="J281" s="8"/>
      <c r="K281" s="8"/>
      <c r="L281" s="8"/>
      <c r="M281" s="8"/>
    </row>
    <row r="282" spans="3:13">
      <c r="C282" s="8"/>
      <c r="D282" s="8"/>
      <c r="E282" s="8"/>
      <c r="F282" s="8"/>
      <c r="H282" s="8"/>
      <c r="I282" s="8"/>
      <c r="J282" s="8"/>
      <c r="K282" s="8"/>
      <c r="L282" s="8"/>
      <c r="M282" s="8"/>
    </row>
    <row r="283" spans="3:13">
      <c r="C283" s="8"/>
      <c r="D283" s="8"/>
      <c r="E283" s="8"/>
      <c r="F283" s="8"/>
      <c r="H283" s="8"/>
      <c r="I283" s="8"/>
      <c r="J283" s="8"/>
      <c r="K283" s="8"/>
      <c r="L283" s="8"/>
      <c r="M283" s="8"/>
    </row>
    <row r="284" spans="3:13">
      <c r="C284" s="8"/>
      <c r="D284" s="8"/>
      <c r="E284" s="8"/>
      <c r="F284" s="8"/>
      <c r="H284" s="8"/>
      <c r="I284" s="8"/>
      <c r="J284" s="8"/>
      <c r="K284" s="8"/>
      <c r="L284" s="8"/>
      <c r="M284" s="8"/>
    </row>
    <row r="285" spans="3:13">
      <c r="C285" s="8"/>
      <c r="D285" s="8"/>
      <c r="E285" s="8"/>
      <c r="F285" s="8"/>
      <c r="H285" s="8"/>
      <c r="I285" s="8"/>
      <c r="J285" s="8"/>
      <c r="K285" s="8"/>
      <c r="L285" s="8"/>
      <c r="M285" s="8"/>
    </row>
    <row r="286" spans="3:13">
      <c r="C286" s="8"/>
      <c r="D286" s="8"/>
      <c r="E286" s="8"/>
      <c r="F286" s="8"/>
      <c r="H286" s="8"/>
      <c r="I286" s="8"/>
      <c r="J286" s="8"/>
      <c r="K286" s="8"/>
      <c r="L286" s="8"/>
      <c r="M286" s="8"/>
    </row>
    <row r="287" spans="3:13">
      <c r="C287" s="8"/>
      <c r="D287" s="8"/>
      <c r="E287" s="8"/>
      <c r="F287" s="8"/>
      <c r="H287" s="8"/>
      <c r="I287" s="8"/>
      <c r="J287" s="8"/>
      <c r="K287" s="8"/>
      <c r="L287" s="8"/>
      <c r="M287" s="8"/>
    </row>
    <row r="288" spans="3:13">
      <c r="C288" s="8"/>
      <c r="D288" s="8"/>
      <c r="E288" s="8"/>
      <c r="F288" s="8"/>
      <c r="H288" s="8"/>
      <c r="I288" s="8"/>
      <c r="J288" s="8"/>
      <c r="K288" s="8"/>
      <c r="L288" s="8"/>
      <c r="M288" s="8"/>
    </row>
    <row r="289" spans="3:13">
      <c r="C289" s="8"/>
      <c r="D289" s="8"/>
      <c r="E289" s="8"/>
      <c r="F289" s="8"/>
      <c r="H289" s="8"/>
      <c r="I289" s="8"/>
      <c r="J289" s="8"/>
      <c r="K289" s="8"/>
      <c r="L289" s="8"/>
      <c r="M289" s="8"/>
    </row>
    <row r="290" spans="3:13">
      <c r="C290" s="8"/>
      <c r="D290" s="8"/>
      <c r="E290" s="8"/>
      <c r="F290" s="8"/>
      <c r="H290" s="8"/>
      <c r="I290" s="8"/>
      <c r="J290" s="8"/>
      <c r="K290" s="8"/>
      <c r="L290" s="8"/>
      <c r="M290" s="8"/>
    </row>
    <row r="291" spans="3:13">
      <c r="C291" s="8"/>
      <c r="D291" s="8"/>
      <c r="E291" s="8"/>
      <c r="F291" s="8"/>
      <c r="H291" s="8"/>
      <c r="I291" s="8"/>
      <c r="J291" s="8"/>
      <c r="K291" s="8"/>
      <c r="L291" s="8"/>
      <c r="M291" s="8"/>
    </row>
    <row r="292" spans="3:13">
      <c r="C292" s="8"/>
      <c r="D292" s="8"/>
      <c r="E292" s="8"/>
      <c r="F292" s="8"/>
      <c r="H292" s="8"/>
      <c r="I292" s="8"/>
      <c r="J292" s="8"/>
      <c r="K292" s="8"/>
      <c r="L292" s="8"/>
      <c r="M292" s="8"/>
    </row>
    <row r="293" spans="3:13">
      <c r="C293" s="8"/>
      <c r="D293" s="8"/>
      <c r="E293" s="8"/>
      <c r="F293" s="8"/>
      <c r="H293" s="8"/>
      <c r="I293" s="8"/>
      <c r="J293" s="8"/>
      <c r="K293" s="8"/>
      <c r="L293" s="8"/>
      <c r="M293" s="8"/>
    </row>
    <row r="294" spans="3:13">
      <c r="C294" s="8"/>
      <c r="D294" s="8"/>
      <c r="E294" s="8"/>
      <c r="F294" s="8"/>
      <c r="H294" s="8"/>
      <c r="I294" s="8"/>
      <c r="J294" s="8"/>
      <c r="K294" s="8"/>
      <c r="L294" s="8"/>
      <c r="M294" s="8"/>
    </row>
    <row r="295" spans="3:13">
      <c r="C295" s="8"/>
      <c r="D295" s="8"/>
      <c r="E295" s="8"/>
      <c r="F295" s="8"/>
      <c r="H295" s="8"/>
      <c r="I295" s="8"/>
      <c r="J295" s="8"/>
      <c r="K295" s="8"/>
      <c r="L295" s="8"/>
      <c r="M295" s="8"/>
    </row>
    <row r="296" spans="3:13">
      <c r="C296" s="8"/>
      <c r="D296" s="8"/>
      <c r="E296" s="8"/>
      <c r="F296" s="8"/>
      <c r="H296" s="8"/>
      <c r="I296" s="8"/>
      <c r="J296" s="8"/>
      <c r="K296" s="8"/>
      <c r="L296" s="8"/>
      <c r="M296" s="8"/>
    </row>
    <row r="297" spans="3:13">
      <c r="C297" s="8"/>
      <c r="D297" s="8"/>
      <c r="E297" s="8"/>
      <c r="F297" s="8"/>
      <c r="H297" s="8"/>
      <c r="I297" s="8"/>
      <c r="J297" s="8"/>
      <c r="K297" s="8"/>
      <c r="L297" s="8"/>
      <c r="M297" s="8"/>
    </row>
    <row r="298" spans="3:13">
      <c r="C298" s="8"/>
      <c r="D298" s="8"/>
      <c r="E298" s="8"/>
      <c r="F298" s="8"/>
      <c r="H298" s="8"/>
      <c r="I298" s="8"/>
      <c r="J298" s="8"/>
      <c r="K298" s="8"/>
      <c r="L298" s="8"/>
      <c r="M298" s="8"/>
    </row>
    <row r="299" spans="3:13">
      <c r="C299" s="8"/>
      <c r="D299" s="8"/>
      <c r="E299" s="8"/>
      <c r="F299" s="8"/>
      <c r="H299" s="8"/>
      <c r="I299" s="8"/>
      <c r="J299" s="8"/>
      <c r="K299" s="8"/>
      <c r="L299" s="8"/>
      <c r="M299" s="8"/>
    </row>
    <row r="300" spans="3:13">
      <c r="C300" s="8"/>
      <c r="D300" s="8"/>
      <c r="E300" s="8"/>
      <c r="F300" s="8"/>
      <c r="H300" s="8"/>
      <c r="I300" s="8"/>
      <c r="J300" s="8"/>
      <c r="K300" s="8"/>
      <c r="L300" s="8"/>
      <c r="M300" s="8"/>
    </row>
    <row r="301" spans="3:13">
      <c r="C301" s="8"/>
      <c r="D301" s="8"/>
      <c r="E301" s="8"/>
      <c r="F301" s="8"/>
      <c r="H301" s="8"/>
      <c r="I301" s="8"/>
      <c r="J301" s="8"/>
      <c r="K301" s="8"/>
      <c r="L301" s="8"/>
      <c r="M301" s="8"/>
    </row>
    <row r="302" spans="3:13">
      <c r="C302" s="8"/>
      <c r="D302" s="8"/>
      <c r="E302" s="8"/>
      <c r="F302" s="8"/>
      <c r="H302" s="8"/>
      <c r="I302" s="8"/>
      <c r="J302" s="8"/>
      <c r="K302" s="8"/>
      <c r="L302" s="8"/>
      <c r="M302" s="8"/>
    </row>
    <row r="303" spans="3:13">
      <c r="C303" s="8"/>
      <c r="D303" s="8"/>
      <c r="E303" s="8"/>
      <c r="F303" s="8"/>
      <c r="H303" s="8"/>
      <c r="I303" s="8"/>
      <c r="J303" s="8"/>
      <c r="K303" s="8"/>
      <c r="L303" s="8"/>
      <c r="M303" s="8"/>
    </row>
    <row r="304" spans="3:13">
      <c r="C304" s="8"/>
      <c r="D304" s="8"/>
      <c r="E304" s="8"/>
      <c r="F304" s="8"/>
      <c r="H304" s="8"/>
      <c r="I304" s="8"/>
      <c r="J304" s="8"/>
      <c r="K304" s="8"/>
      <c r="L304" s="8"/>
      <c r="M304" s="8"/>
    </row>
    <row r="305" spans="3:13">
      <c r="C305" s="8"/>
      <c r="D305" s="8"/>
      <c r="E305" s="8"/>
      <c r="F305" s="8"/>
      <c r="H305" s="8"/>
      <c r="I305" s="8"/>
      <c r="J305" s="8"/>
      <c r="K305" s="8"/>
      <c r="L305" s="8"/>
      <c r="M305" s="8"/>
    </row>
    <row r="306" spans="3:13">
      <c r="C306" s="8"/>
      <c r="D306" s="8"/>
      <c r="E306" s="8"/>
      <c r="F306" s="8"/>
      <c r="H306" s="8"/>
      <c r="I306" s="8"/>
      <c r="J306" s="8"/>
      <c r="K306" s="8"/>
      <c r="L306" s="8"/>
      <c r="M306" s="8"/>
    </row>
    <row r="307" spans="3:13">
      <c r="C307" s="8"/>
      <c r="D307" s="8"/>
      <c r="E307" s="8"/>
      <c r="F307" s="8"/>
      <c r="H307" s="8"/>
      <c r="I307" s="8"/>
      <c r="J307" s="8"/>
      <c r="K307" s="8"/>
      <c r="L307" s="8"/>
      <c r="M307" s="8"/>
    </row>
    <row r="308" spans="3:13">
      <c r="C308" s="8"/>
      <c r="D308" s="8"/>
      <c r="E308" s="8"/>
      <c r="F308" s="8"/>
      <c r="H308" s="8"/>
      <c r="I308" s="8"/>
      <c r="J308" s="8"/>
      <c r="K308" s="8"/>
      <c r="L308" s="8"/>
      <c r="M308" s="8"/>
    </row>
    <row r="309" spans="3:13">
      <c r="C309" s="8"/>
      <c r="D309" s="8"/>
      <c r="E309" s="8"/>
      <c r="F309" s="8"/>
      <c r="H309" s="8"/>
      <c r="I309" s="8"/>
      <c r="J309" s="8"/>
      <c r="K309" s="8"/>
      <c r="L309" s="8"/>
      <c r="M309" s="8"/>
    </row>
    <row r="310" spans="3:13">
      <c r="C310" s="8"/>
      <c r="D310" s="8"/>
      <c r="E310" s="8"/>
      <c r="F310" s="8"/>
      <c r="H310" s="8"/>
      <c r="I310" s="8"/>
      <c r="J310" s="8"/>
      <c r="K310" s="8"/>
      <c r="L310" s="8"/>
      <c r="M310" s="8"/>
    </row>
    <row r="311" spans="3:13">
      <c r="C311" s="8"/>
      <c r="D311" s="8"/>
      <c r="E311" s="8"/>
      <c r="F311" s="8"/>
      <c r="H311" s="8"/>
      <c r="I311" s="8"/>
      <c r="J311" s="8"/>
      <c r="K311" s="8"/>
      <c r="L311" s="8"/>
      <c r="M311" s="8"/>
    </row>
    <row r="312" spans="3:13">
      <c r="C312" s="8"/>
      <c r="D312" s="8"/>
      <c r="E312" s="8"/>
      <c r="F312" s="8"/>
      <c r="H312" s="8"/>
      <c r="I312" s="8"/>
      <c r="J312" s="8"/>
      <c r="K312" s="8"/>
      <c r="L312" s="8"/>
      <c r="M312" s="8"/>
    </row>
    <row r="313" spans="3:13">
      <c r="C313" s="8"/>
      <c r="D313" s="8"/>
      <c r="E313" s="8"/>
      <c r="F313" s="8"/>
      <c r="H313" s="8"/>
      <c r="I313" s="8"/>
      <c r="J313" s="8"/>
      <c r="K313" s="8"/>
      <c r="L313" s="8"/>
      <c r="M313" s="8"/>
    </row>
    <row r="314" spans="3:13">
      <c r="C314" s="8"/>
      <c r="D314" s="8"/>
      <c r="E314" s="8"/>
      <c r="F314" s="8"/>
      <c r="H314" s="8"/>
      <c r="I314" s="8"/>
      <c r="J314" s="8"/>
      <c r="K314" s="8"/>
      <c r="L314" s="8"/>
      <c r="M314" s="8"/>
    </row>
    <row r="315" spans="3:13">
      <c r="C315" s="8"/>
      <c r="D315" s="8"/>
      <c r="E315" s="8"/>
      <c r="F315" s="8"/>
      <c r="H315" s="8"/>
      <c r="I315" s="8"/>
      <c r="J315" s="8"/>
      <c r="K315" s="8"/>
      <c r="L315" s="8"/>
      <c r="M315" s="8"/>
    </row>
    <row r="316" spans="3:13">
      <c r="C316" s="8"/>
      <c r="D316" s="8"/>
      <c r="E316" s="8"/>
      <c r="F316" s="8"/>
      <c r="H316" s="8"/>
      <c r="I316" s="8"/>
      <c r="J316" s="8"/>
      <c r="K316" s="8"/>
      <c r="L316" s="8"/>
      <c r="M316" s="8"/>
    </row>
    <row r="317" spans="3:13">
      <c r="C317" s="8"/>
      <c r="D317" s="8"/>
      <c r="E317" s="8"/>
      <c r="F317" s="8"/>
      <c r="H317" s="8"/>
      <c r="I317" s="8"/>
      <c r="J317" s="8"/>
      <c r="K317" s="8"/>
      <c r="L317" s="8"/>
      <c r="M317" s="8"/>
    </row>
    <row r="318" spans="3:13">
      <c r="C318" s="8"/>
      <c r="D318" s="8"/>
      <c r="E318" s="8"/>
      <c r="F318" s="8"/>
      <c r="H318" s="8"/>
      <c r="I318" s="8"/>
      <c r="J318" s="8"/>
      <c r="K318" s="8"/>
      <c r="L318" s="8"/>
      <c r="M318" s="8"/>
    </row>
    <row r="319" spans="3:13">
      <c r="C319" s="8"/>
      <c r="D319" s="8"/>
      <c r="E319" s="8"/>
      <c r="F319" s="8"/>
      <c r="H319" s="8"/>
      <c r="I319" s="8"/>
      <c r="J319" s="8"/>
      <c r="K319" s="8"/>
      <c r="L319" s="8"/>
      <c r="M319" s="8"/>
    </row>
    <row r="320" spans="3:13">
      <c r="C320" s="8"/>
      <c r="D320" s="8"/>
      <c r="E320" s="8"/>
      <c r="F320" s="8"/>
      <c r="H320" s="8"/>
      <c r="I320" s="8"/>
      <c r="J320" s="8"/>
      <c r="K320" s="8"/>
      <c r="L320" s="8"/>
      <c r="M320" s="8"/>
    </row>
    <row r="321" spans="3:13">
      <c r="C321" s="8"/>
      <c r="D321" s="8"/>
      <c r="E321" s="8"/>
      <c r="F321" s="8"/>
      <c r="H321" s="8"/>
      <c r="I321" s="8"/>
      <c r="J321" s="8"/>
      <c r="K321" s="8"/>
      <c r="L321" s="8"/>
      <c r="M321" s="8"/>
    </row>
    <row r="322" spans="3:13">
      <c r="C322" s="8"/>
      <c r="D322" s="8"/>
      <c r="E322" s="8"/>
      <c r="F322" s="8"/>
      <c r="H322" s="8"/>
      <c r="I322" s="8"/>
      <c r="J322" s="8"/>
      <c r="K322" s="8"/>
      <c r="L322" s="8"/>
      <c r="M322" s="8"/>
    </row>
    <row r="323" spans="3:13">
      <c r="C323" s="8"/>
      <c r="D323" s="8"/>
      <c r="E323" s="8"/>
      <c r="F323" s="8"/>
      <c r="H323" s="8"/>
      <c r="I323" s="8"/>
      <c r="J323" s="8"/>
      <c r="K323" s="8"/>
      <c r="L323" s="8"/>
      <c r="M323" s="8"/>
    </row>
    <row r="324" spans="3:13">
      <c r="C324" s="8"/>
      <c r="D324" s="8"/>
      <c r="E324" s="8"/>
      <c r="F324" s="8"/>
      <c r="H324" s="8"/>
      <c r="I324" s="8"/>
      <c r="J324" s="8"/>
      <c r="K324" s="8"/>
      <c r="L324" s="8"/>
      <c r="M324" s="8"/>
    </row>
    <row r="325" spans="3:13">
      <c r="C325" s="8"/>
      <c r="D325" s="8"/>
      <c r="E325" s="8"/>
      <c r="F325" s="8"/>
      <c r="H325" s="8"/>
      <c r="I325" s="8"/>
      <c r="J325" s="8"/>
      <c r="K325" s="8"/>
      <c r="L325" s="8"/>
      <c r="M325" s="8"/>
    </row>
    <row r="326" spans="3:13">
      <c r="C326" s="8"/>
      <c r="D326" s="8"/>
      <c r="E326" s="8"/>
      <c r="F326" s="8"/>
      <c r="H326" s="8"/>
      <c r="I326" s="8"/>
      <c r="J326" s="8"/>
      <c r="K326" s="8"/>
      <c r="L326" s="8"/>
      <c r="M326" s="8"/>
    </row>
    <row r="327" spans="3:13">
      <c r="C327" s="8"/>
      <c r="D327" s="8"/>
      <c r="E327" s="8"/>
      <c r="F327" s="8"/>
      <c r="H327" s="8"/>
      <c r="I327" s="8"/>
      <c r="J327" s="8"/>
      <c r="K327" s="8"/>
      <c r="L327" s="8"/>
      <c r="M327" s="8"/>
    </row>
    <row r="328" spans="3:13">
      <c r="C328" s="8"/>
      <c r="D328" s="8"/>
      <c r="E328" s="8"/>
      <c r="F328" s="8"/>
      <c r="H328" s="8"/>
      <c r="I328" s="8"/>
      <c r="J328" s="8"/>
      <c r="K328" s="8"/>
      <c r="L328" s="8"/>
      <c r="M328" s="8"/>
    </row>
    <row r="329" spans="3:13">
      <c r="C329" s="8"/>
      <c r="D329" s="8"/>
      <c r="E329" s="8"/>
      <c r="F329" s="8"/>
      <c r="H329" s="8"/>
      <c r="I329" s="8"/>
      <c r="J329" s="8"/>
      <c r="K329" s="8"/>
      <c r="L329" s="8"/>
      <c r="M329" s="8"/>
    </row>
    <row r="330" spans="3:13">
      <c r="C330" s="8"/>
      <c r="D330" s="8"/>
      <c r="E330" s="8"/>
      <c r="F330" s="8"/>
      <c r="H330" s="8"/>
      <c r="I330" s="8"/>
      <c r="J330" s="8"/>
      <c r="K330" s="8"/>
      <c r="L330" s="8"/>
      <c r="M330" s="8"/>
    </row>
    <row r="331" spans="3:13">
      <c r="C331" s="8"/>
      <c r="D331" s="8"/>
      <c r="E331" s="8"/>
      <c r="F331" s="8"/>
      <c r="H331" s="8"/>
      <c r="I331" s="8"/>
      <c r="J331" s="8"/>
      <c r="K331" s="8"/>
      <c r="L331" s="8"/>
      <c r="M331" s="8"/>
    </row>
    <row r="332" spans="3:13">
      <c r="C332" s="8"/>
      <c r="D332" s="8"/>
      <c r="E332" s="8"/>
      <c r="F332" s="8"/>
      <c r="H332" s="8"/>
      <c r="I332" s="8"/>
      <c r="J332" s="8"/>
      <c r="K332" s="8"/>
      <c r="L332" s="8"/>
      <c r="M332" s="8"/>
    </row>
    <row r="333" spans="3:13">
      <c r="C333" s="8"/>
      <c r="D333" s="8"/>
      <c r="E333" s="8"/>
      <c r="F333" s="8"/>
      <c r="H333" s="8"/>
      <c r="I333" s="8"/>
      <c r="J333" s="8"/>
      <c r="K333" s="8"/>
      <c r="L333" s="8"/>
      <c r="M333" s="8"/>
    </row>
    <row r="334" spans="3:13">
      <c r="C334" s="8"/>
      <c r="D334" s="8"/>
      <c r="E334" s="8"/>
      <c r="F334" s="8"/>
      <c r="H334" s="8"/>
      <c r="I334" s="8"/>
      <c r="J334" s="8"/>
      <c r="K334" s="8"/>
      <c r="L334" s="8"/>
      <c r="M334" s="8"/>
    </row>
    <row r="335" spans="3:13">
      <c r="C335" s="8"/>
      <c r="D335" s="8"/>
      <c r="E335" s="8"/>
      <c r="F335" s="8"/>
      <c r="H335" s="8"/>
      <c r="I335" s="8"/>
      <c r="J335" s="8"/>
      <c r="K335" s="8"/>
      <c r="L335" s="8"/>
      <c r="M335" s="8"/>
    </row>
    <row r="336" spans="3:13">
      <c r="C336" s="8"/>
      <c r="D336" s="8"/>
      <c r="E336" s="8"/>
      <c r="F336" s="8"/>
      <c r="H336" s="8"/>
      <c r="I336" s="8"/>
      <c r="J336" s="8"/>
      <c r="K336" s="8"/>
      <c r="L336" s="8"/>
      <c r="M336" s="8"/>
    </row>
    <row r="337" spans="3:13">
      <c r="C337" s="8"/>
      <c r="D337" s="8"/>
      <c r="E337" s="8"/>
      <c r="F337" s="8"/>
      <c r="H337" s="8"/>
      <c r="I337" s="8"/>
      <c r="J337" s="8"/>
      <c r="K337" s="8"/>
      <c r="L337" s="8"/>
      <c r="M337" s="8"/>
    </row>
    <row r="338" spans="3:13">
      <c r="C338" s="8"/>
      <c r="D338" s="8"/>
      <c r="E338" s="8"/>
      <c r="F338" s="8"/>
      <c r="H338" s="8"/>
      <c r="I338" s="8"/>
      <c r="J338" s="8"/>
      <c r="K338" s="8"/>
      <c r="L338" s="8"/>
      <c r="M338" s="8"/>
    </row>
    <row r="339" spans="3:13">
      <c r="C339" s="8"/>
      <c r="D339" s="8"/>
      <c r="E339" s="8"/>
      <c r="F339" s="8"/>
      <c r="H339" s="8"/>
      <c r="I339" s="8"/>
      <c r="J339" s="8"/>
      <c r="K339" s="8"/>
      <c r="L339" s="8"/>
      <c r="M339" s="8"/>
    </row>
    <row r="340" spans="3:13">
      <c r="C340" s="8"/>
      <c r="D340" s="8"/>
      <c r="E340" s="8"/>
      <c r="F340" s="8"/>
      <c r="H340" s="8"/>
      <c r="I340" s="8"/>
      <c r="J340" s="8"/>
      <c r="K340" s="8"/>
      <c r="L340" s="8"/>
      <c r="M340" s="8"/>
    </row>
    <row r="341" spans="3:13">
      <c r="C341" s="8"/>
      <c r="D341" s="8"/>
      <c r="E341" s="8"/>
      <c r="F341" s="8"/>
      <c r="H341" s="8"/>
      <c r="I341" s="8"/>
      <c r="J341" s="8"/>
      <c r="K341" s="8"/>
      <c r="L341" s="8"/>
      <c r="M341" s="8"/>
    </row>
    <row r="342" spans="3:13">
      <c r="C342" s="8"/>
      <c r="D342" s="8"/>
      <c r="E342" s="8"/>
      <c r="F342" s="8"/>
      <c r="H342" s="8"/>
      <c r="I342" s="8"/>
      <c r="J342" s="8"/>
      <c r="K342" s="8"/>
      <c r="L342" s="8"/>
      <c r="M342" s="8"/>
    </row>
    <row r="343" spans="3:13">
      <c r="C343" s="8"/>
      <c r="D343" s="8"/>
      <c r="E343" s="8"/>
      <c r="F343" s="8"/>
      <c r="H343" s="8"/>
      <c r="I343" s="8"/>
      <c r="J343" s="8"/>
      <c r="K343" s="8"/>
      <c r="L343" s="8"/>
      <c r="M343" s="8"/>
    </row>
    <row r="344" spans="3:13">
      <c r="C344" s="8"/>
      <c r="D344" s="8"/>
      <c r="E344" s="8"/>
      <c r="F344" s="8"/>
      <c r="H344" s="8"/>
      <c r="I344" s="8"/>
      <c r="J344" s="8"/>
      <c r="K344" s="8"/>
      <c r="L344" s="8"/>
      <c r="M344" s="8"/>
    </row>
    <row r="345" spans="3:13">
      <c r="C345" s="8"/>
      <c r="D345" s="8"/>
      <c r="E345" s="8"/>
      <c r="F345" s="8"/>
      <c r="H345" s="8"/>
      <c r="I345" s="8"/>
      <c r="J345" s="8"/>
      <c r="K345" s="8"/>
      <c r="L345" s="8"/>
      <c r="M345" s="8"/>
    </row>
    <row r="346" spans="3:13">
      <c r="C346" s="8"/>
      <c r="D346" s="8"/>
      <c r="E346" s="8"/>
      <c r="F346" s="8"/>
      <c r="H346" s="8"/>
      <c r="I346" s="8"/>
      <c r="J346" s="8"/>
      <c r="K346" s="8"/>
      <c r="L346" s="8"/>
      <c r="M346" s="8"/>
    </row>
    <row r="347" spans="3:13">
      <c r="C347" s="8"/>
      <c r="D347" s="8"/>
      <c r="E347" s="8"/>
      <c r="F347" s="8"/>
      <c r="H347" s="8"/>
      <c r="I347" s="8"/>
      <c r="J347" s="8"/>
      <c r="K347" s="8"/>
      <c r="L347" s="8"/>
      <c r="M347" s="8"/>
    </row>
    <row r="348" spans="3:13">
      <c r="C348" s="8"/>
      <c r="D348" s="8"/>
      <c r="E348" s="8"/>
      <c r="F348" s="8"/>
      <c r="H348" s="8"/>
      <c r="I348" s="8"/>
      <c r="J348" s="8"/>
      <c r="K348" s="8"/>
      <c r="L348" s="8"/>
      <c r="M348" s="8"/>
    </row>
    <row r="349" spans="3:13">
      <c r="C349" s="8"/>
      <c r="D349" s="8"/>
      <c r="E349" s="8"/>
      <c r="F349" s="8"/>
      <c r="H349" s="8"/>
      <c r="I349" s="8"/>
      <c r="J349" s="8"/>
      <c r="K349" s="8"/>
      <c r="L349" s="8"/>
      <c r="M349" s="8"/>
    </row>
    <row r="350" spans="3:13">
      <c r="C350" s="8"/>
      <c r="D350" s="8"/>
      <c r="E350" s="8"/>
      <c r="F350" s="8"/>
      <c r="H350" s="8"/>
      <c r="I350" s="8"/>
      <c r="J350" s="8"/>
      <c r="K350" s="8"/>
      <c r="L350" s="8"/>
      <c r="M350" s="8"/>
    </row>
    <row r="351" spans="3:13">
      <c r="C351" s="8"/>
      <c r="D351" s="8"/>
      <c r="E351" s="8"/>
      <c r="F351" s="8"/>
      <c r="H351" s="8"/>
      <c r="I351" s="8"/>
      <c r="J351" s="8"/>
      <c r="K351" s="8"/>
      <c r="L351" s="8"/>
      <c r="M351" s="8"/>
    </row>
    <row r="352" spans="3:13">
      <c r="C352" s="8"/>
      <c r="D352" s="8"/>
      <c r="E352" s="8"/>
      <c r="F352" s="8"/>
      <c r="H352" s="8"/>
      <c r="I352" s="8"/>
      <c r="J352" s="8"/>
      <c r="K352" s="8"/>
      <c r="L352" s="8"/>
      <c r="M352" s="8"/>
    </row>
    <row r="353" spans="3:13">
      <c r="C353" s="8"/>
      <c r="D353" s="8"/>
      <c r="E353" s="8"/>
      <c r="F353" s="8"/>
      <c r="H353" s="8"/>
      <c r="I353" s="8"/>
      <c r="J353" s="8"/>
      <c r="K353" s="8"/>
      <c r="L353" s="8"/>
      <c r="M353" s="8"/>
    </row>
    <row r="354" spans="3:13">
      <c r="C354" s="8"/>
      <c r="D354" s="8"/>
      <c r="E354" s="8"/>
      <c r="F354" s="8"/>
      <c r="H354" s="8"/>
      <c r="I354" s="8"/>
      <c r="J354" s="8"/>
      <c r="K354" s="8"/>
      <c r="L354" s="8"/>
      <c r="M354" s="8"/>
    </row>
    <row r="355" spans="3:13">
      <c r="C355" s="8"/>
      <c r="D355" s="8"/>
      <c r="E355" s="8"/>
      <c r="F355" s="8"/>
      <c r="H355" s="8"/>
      <c r="I355" s="8"/>
      <c r="J355" s="8"/>
      <c r="K355" s="8"/>
      <c r="L355" s="8"/>
      <c r="M355" s="8"/>
    </row>
    <row r="356" spans="3:13">
      <c r="C356" s="8"/>
      <c r="D356" s="8"/>
      <c r="E356" s="8"/>
      <c r="F356" s="8"/>
      <c r="H356" s="8"/>
      <c r="I356" s="8"/>
      <c r="J356" s="8"/>
      <c r="K356" s="8"/>
      <c r="L356" s="8"/>
      <c r="M356" s="8"/>
    </row>
    <row r="357" spans="3:13">
      <c r="C357" s="8"/>
      <c r="D357" s="8"/>
      <c r="E357" s="8"/>
      <c r="F357" s="8"/>
      <c r="H357" s="8"/>
      <c r="I357" s="8"/>
      <c r="J357" s="8"/>
      <c r="K357" s="8"/>
      <c r="L357" s="8"/>
      <c r="M357" s="8"/>
    </row>
    <row r="358" spans="3:13">
      <c r="C358" s="8"/>
      <c r="D358" s="8"/>
      <c r="E358" s="8"/>
      <c r="F358" s="8"/>
      <c r="H358" s="8"/>
      <c r="I358" s="8"/>
      <c r="J358" s="8"/>
      <c r="K358" s="8"/>
      <c r="L358" s="8"/>
      <c r="M358" s="8"/>
    </row>
    <row r="359" spans="3:13">
      <c r="C359" s="8"/>
      <c r="D359" s="8"/>
      <c r="E359" s="8"/>
      <c r="F359" s="8"/>
      <c r="H359" s="8"/>
      <c r="I359" s="8"/>
      <c r="J359" s="8"/>
      <c r="K359" s="8"/>
      <c r="L359" s="8"/>
      <c r="M359" s="8"/>
    </row>
    <row r="360" spans="3:13">
      <c r="C360" s="8"/>
      <c r="D360" s="8"/>
      <c r="E360" s="8"/>
      <c r="F360" s="8"/>
      <c r="H360" s="8"/>
      <c r="I360" s="8"/>
      <c r="J360" s="8"/>
      <c r="K360" s="8"/>
      <c r="L360" s="8"/>
      <c r="M360" s="8"/>
    </row>
    <row r="361" spans="3:13">
      <c r="C361" s="8"/>
      <c r="D361" s="8"/>
      <c r="E361" s="8"/>
      <c r="F361" s="8"/>
      <c r="H361" s="8"/>
      <c r="I361" s="8"/>
      <c r="J361" s="8"/>
      <c r="K361" s="8"/>
      <c r="L361" s="8"/>
      <c r="M361" s="8"/>
    </row>
    <row r="362" spans="3:13">
      <c r="C362" s="8"/>
      <c r="D362" s="8"/>
      <c r="E362" s="8"/>
      <c r="F362" s="8"/>
      <c r="H362" s="8"/>
      <c r="I362" s="8"/>
      <c r="J362" s="8"/>
      <c r="K362" s="8"/>
      <c r="L362" s="8"/>
      <c r="M362" s="8"/>
    </row>
    <row r="363" spans="3:13">
      <c r="C363" s="8"/>
      <c r="D363" s="8"/>
      <c r="E363" s="8"/>
      <c r="F363" s="8"/>
      <c r="H363" s="8"/>
      <c r="I363" s="8"/>
      <c r="J363" s="8"/>
      <c r="K363" s="8"/>
      <c r="L363" s="8"/>
      <c r="M363" s="8"/>
    </row>
    <row r="364" spans="3:13">
      <c r="C364" s="8"/>
      <c r="D364" s="8"/>
      <c r="E364" s="8"/>
      <c r="F364" s="8"/>
      <c r="H364" s="8"/>
      <c r="I364" s="8"/>
      <c r="J364" s="8"/>
      <c r="K364" s="8"/>
      <c r="L364" s="8"/>
      <c r="M364" s="8"/>
    </row>
    <row r="365" spans="3:13">
      <c r="C365" s="8"/>
      <c r="D365" s="8"/>
      <c r="E365" s="8"/>
      <c r="F365" s="8"/>
      <c r="H365" s="8"/>
      <c r="I365" s="8"/>
      <c r="J365" s="8"/>
      <c r="K365" s="8"/>
      <c r="L365" s="8"/>
      <c r="M365" s="8"/>
    </row>
    <row r="366" spans="3:13">
      <c r="C366" s="8"/>
      <c r="D366" s="8"/>
      <c r="E366" s="8"/>
      <c r="F366" s="8"/>
      <c r="H366" s="8"/>
      <c r="I366" s="8"/>
      <c r="J366" s="8"/>
      <c r="K366" s="8"/>
      <c r="L366" s="8"/>
      <c r="M366" s="8"/>
    </row>
    <row r="367" spans="3:13">
      <c r="C367" s="8"/>
      <c r="D367" s="8"/>
      <c r="E367" s="8"/>
      <c r="F367" s="8"/>
      <c r="H367" s="8"/>
      <c r="I367" s="8"/>
      <c r="J367" s="8"/>
      <c r="K367" s="8"/>
      <c r="L367" s="8"/>
      <c r="M367" s="8"/>
    </row>
    <row r="368" spans="3:13">
      <c r="C368" s="8"/>
      <c r="D368" s="8"/>
      <c r="E368" s="8"/>
      <c r="F368" s="8"/>
      <c r="H368" s="8"/>
      <c r="I368" s="8"/>
      <c r="J368" s="8"/>
      <c r="K368" s="8"/>
      <c r="L368" s="8"/>
      <c r="M368" s="8"/>
    </row>
    <row r="369" spans="3:13">
      <c r="C369" s="8"/>
      <c r="D369" s="8"/>
      <c r="E369" s="8"/>
      <c r="F369" s="8"/>
      <c r="H369" s="8"/>
      <c r="I369" s="8"/>
      <c r="J369" s="8"/>
      <c r="K369" s="8"/>
      <c r="L369" s="8"/>
      <c r="M369" s="8"/>
    </row>
    <row r="370" spans="3:13">
      <c r="C370" s="8"/>
      <c r="D370" s="8"/>
      <c r="E370" s="8"/>
      <c r="F370" s="8"/>
      <c r="H370" s="8"/>
      <c r="I370" s="8"/>
      <c r="J370" s="8"/>
      <c r="K370" s="8"/>
      <c r="L370" s="8"/>
      <c r="M370" s="8"/>
    </row>
    <row r="371" spans="3:13">
      <c r="C371" s="8"/>
      <c r="D371" s="8"/>
      <c r="E371" s="8"/>
      <c r="F371" s="8"/>
      <c r="H371" s="8"/>
      <c r="I371" s="8"/>
      <c r="J371" s="8"/>
      <c r="K371" s="8"/>
      <c r="L371" s="8"/>
      <c r="M371" s="8"/>
    </row>
    <row r="372" spans="3:13">
      <c r="C372" s="8"/>
      <c r="D372" s="8"/>
      <c r="E372" s="8"/>
      <c r="F372" s="8"/>
      <c r="H372" s="8"/>
      <c r="I372" s="8"/>
      <c r="J372" s="8"/>
      <c r="K372" s="8"/>
      <c r="L372" s="8"/>
      <c r="M372" s="8"/>
    </row>
    <row r="373" spans="3:13">
      <c r="C373" s="8"/>
      <c r="D373" s="8"/>
      <c r="E373" s="8"/>
      <c r="F373" s="8"/>
      <c r="H373" s="8"/>
      <c r="I373" s="8"/>
      <c r="J373" s="8"/>
      <c r="K373" s="8"/>
      <c r="L373" s="8"/>
      <c r="M373" s="8"/>
    </row>
    <row r="374" spans="3:13">
      <c r="C374" s="8"/>
      <c r="D374" s="8"/>
      <c r="E374" s="8"/>
      <c r="F374" s="8"/>
      <c r="H374" s="8"/>
      <c r="I374" s="8"/>
      <c r="J374" s="8"/>
      <c r="K374" s="8"/>
      <c r="L374" s="8"/>
      <c r="M374" s="8"/>
    </row>
    <row r="375" spans="3:13">
      <c r="C375" s="8"/>
      <c r="D375" s="8"/>
      <c r="E375" s="8"/>
      <c r="F375" s="8"/>
      <c r="H375" s="8"/>
      <c r="I375" s="8"/>
      <c r="J375" s="8"/>
      <c r="K375" s="8"/>
      <c r="L375" s="8"/>
      <c r="M375" s="8"/>
    </row>
    <row r="376" spans="3:13">
      <c r="C376" s="8"/>
      <c r="D376" s="8"/>
      <c r="E376" s="8"/>
      <c r="F376" s="8"/>
      <c r="H376" s="8"/>
      <c r="I376" s="8"/>
      <c r="J376" s="8"/>
      <c r="K376" s="8"/>
      <c r="L376" s="8"/>
      <c r="M376" s="8"/>
    </row>
    <row r="377" spans="3:13">
      <c r="C377" s="8"/>
      <c r="D377" s="8"/>
      <c r="E377" s="8"/>
      <c r="F377" s="8"/>
      <c r="H377" s="8"/>
      <c r="I377" s="8"/>
      <c r="J377" s="8"/>
      <c r="K377" s="8"/>
      <c r="L377" s="8"/>
      <c r="M377" s="8"/>
    </row>
    <row r="378" spans="3:13">
      <c r="C378" s="8"/>
      <c r="D378" s="8"/>
      <c r="E378" s="8"/>
      <c r="F378" s="8"/>
      <c r="H378" s="8"/>
      <c r="I378" s="8"/>
      <c r="J378" s="8"/>
      <c r="K378" s="8"/>
      <c r="L378" s="8"/>
      <c r="M378" s="8"/>
    </row>
    <row r="379" spans="3:13">
      <c r="C379" s="8"/>
      <c r="D379" s="8"/>
      <c r="E379" s="8"/>
      <c r="F379" s="8"/>
      <c r="H379" s="8"/>
      <c r="I379" s="8"/>
      <c r="J379" s="8"/>
      <c r="K379" s="8"/>
      <c r="L379" s="8"/>
      <c r="M379" s="8"/>
    </row>
    <row r="380" spans="3:13">
      <c r="C380" s="8"/>
      <c r="D380" s="8"/>
      <c r="E380" s="8"/>
      <c r="F380" s="8"/>
      <c r="H380" s="8"/>
      <c r="I380" s="8"/>
      <c r="J380" s="8"/>
      <c r="K380" s="8"/>
      <c r="L380" s="8"/>
      <c r="M380" s="8"/>
    </row>
    <row r="381" spans="3:13">
      <c r="C381" s="8"/>
      <c r="D381" s="8"/>
      <c r="E381" s="8"/>
      <c r="F381" s="8"/>
      <c r="H381" s="8"/>
      <c r="I381" s="8"/>
      <c r="J381" s="8"/>
      <c r="K381" s="8"/>
      <c r="L381" s="8"/>
      <c r="M381" s="8"/>
    </row>
    <row r="382" spans="3:13">
      <c r="C382" s="8"/>
      <c r="D382" s="8"/>
      <c r="E382" s="8"/>
      <c r="F382" s="8"/>
      <c r="H382" s="8"/>
      <c r="I382" s="8"/>
      <c r="J382" s="8"/>
      <c r="K382" s="8"/>
      <c r="L382" s="8"/>
      <c r="M382" s="8"/>
    </row>
    <row r="383" spans="3:13">
      <c r="C383" s="8"/>
      <c r="D383" s="8"/>
      <c r="E383" s="8"/>
      <c r="F383" s="8"/>
      <c r="H383" s="8"/>
      <c r="I383" s="8"/>
      <c r="J383" s="8"/>
      <c r="K383" s="8"/>
      <c r="L383" s="8"/>
      <c r="M383" s="8"/>
    </row>
    <row r="384" spans="3:13">
      <c r="C384" s="8"/>
      <c r="D384" s="8"/>
      <c r="E384" s="8"/>
      <c r="F384" s="8"/>
      <c r="H384" s="8"/>
      <c r="I384" s="8"/>
      <c r="J384" s="8"/>
      <c r="K384" s="8"/>
      <c r="L384" s="8"/>
      <c r="M384" s="8"/>
    </row>
    <row r="385" spans="3:13">
      <c r="C385" s="8"/>
      <c r="D385" s="8"/>
      <c r="E385" s="8"/>
      <c r="F385" s="8"/>
      <c r="H385" s="8"/>
      <c r="I385" s="8"/>
      <c r="J385" s="8"/>
      <c r="K385" s="8"/>
      <c r="L385" s="8"/>
      <c r="M385" s="8"/>
    </row>
    <row r="386" spans="3:13">
      <c r="C386" s="8"/>
      <c r="D386" s="8"/>
      <c r="E386" s="8"/>
      <c r="F386" s="8"/>
      <c r="H386" s="8"/>
      <c r="I386" s="8"/>
      <c r="J386" s="8"/>
      <c r="K386" s="8"/>
      <c r="L386" s="8"/>
      <c r="M386" s="8"/>
    </row>
    <row r="387" spans="3:13">
      <c r="C387" s="8"/>
      <c r="D387" s="8"/>
      <c r="E387" s="8"/>
      <c r="F387" s="8"/>
      <c r="H387" s="8"/>
      <c r="I387" s="8"/>
      <c r="J387" s="8"/>
      <c r="K387" s="8"/>
      <c r="L387" s="8"/>
      <c r="M387" s="8"/>
    </row>
    <row r="388" spans="3:13">
      <c r="C388" s="8"/>
      <c r="D388" s="8"/>
      <c r="E388" s="8"/>
      <c r="F388" s="8"/>
      <c r="H388" s="8"/>
      <c r="I388" s="8"/>
      <c r="J388" s="8"/>
      <c r="K388" s="8"/>
      <c r="L388" s="8"/>
      <c r="M388" s="8"/>
    </row>
    <row r="389" spans="3:13">
      <c r="C389" s="8"/>
      <c r="D389" s="8"/>
      <c r="E389" s="8"/>
      <c r="F389" s="8"/>
      <c r="H389" s="8"/>
      <c r="I389" s="8"/>
      <c r="J389" s="8"/>
      <c r="K389" s="8"/>
      <c r="L389" s="8"/>
      <c r="M389" s="8"/>
    </row>
    <row r="390" spans="3:13">
      <c r="C390" s="8"/>
      <c r="D390" s="8"/>
      <c r="E390" s="8"/>
      <c r="F390" s="8"/>
      <c r="H390" s="8"/>
      <c r="I390" s="8"/>
      <c r="J390" s="8"/>
      <c r="K390" s="8"/>
      <c r="L390" s="8"/>
      <c r="M390" s="8"/>
    </row>
    <row r="391" spans="3:13">
      <c r="C391" s="8"/>
      <c r="D391" s="8"/>
      <c r="E391" s="8"/>
      <c r="F391" s="8"/>
      <c r="H391" s="8"/>
      <c r="I391" s="8"/>
      <c r="J391" s="8"/>
      <c r="K391" s="8"/>
      <c r="L391" s="8"/>
      <c r="M391" s="8"/>
    </row>
    <row r="392" spans="3:13">
      <c r="C392" s="8"/>
      <c r="D392" s="8"/>
      <c r="E392" s="8"/>
      <c r="F392" s="8"/>
      <c r="H392" s="8"/>
      <c r="I392" s="8"/>
      <c r="J392" s="8"/>
      <c r="K392" s="8"/>
      <c r="L392" s="8"/>
      <c r="M392" s="8"/>
    </row>
    <row r="393" spans="3:13">
      <c r="C393" s="8"/>
      <c r="D393" s="8"/>
      <c r="E393" s="8"/>
      <c r="F393" s="8"/>
      <c r="H393" s="8"/>
      <c r="I393" s="8"/>
      <c r="J393" s="8"/>
      <c r="K393" s="8"/>
      <c r="L393" s="8"/>
      <c r="M393" s="8"/>
    </row>
    <row r="394" spans="3:13">
      <c r="C394" s="8"/>
      <c r="D394" s="8"/>
      <c r="E394" s="8"/>
      <c r="F394" s="8"/>
      <c r="H394" s="8"/>
      <c r="I394" s="8"/>
      <c r="J394" s="8"/>
      <c r="K394" s="8"/>
      <c r="L394" s="8"/>
      <c r="M394" s="8"/>
    </row>
    <row r="395" spans="3:13">
      <c r="C395" s="8"/>
      <c r="D395" s="8"/>
      <c r="E395" s="8"/>
      <c r="F395" s="8"/>
      <c r="H395" s="8"/>
      <c r="I395" s="8"/>
      <c r="J395" s="8"/>
      <c r="K395" s="8"/>
      <c r="L395" s="8"/>
      <c r="M395" s="8"/>
    </row>
    <row r="396" spans="3:13">
      <c r="C396" s="8"/>
      <c r="D396" s="8"/>
      <c r="E396" s="8"/>
      <c r="F396" s="8"/>
      <c r="H396" s="8"/>
      <c r="I396" s="8"/>
      <c r="J396" s="8"/>
      <c r="K396" s="8"/>
      <c r="L396" s="8"/>
      <c r="M396" s="8"/>
    </row>
    <row r="397" spans="3:13">
      <c r="C397" s="8"/>
      <c r="D397" s="8"/>
      <c r="E397" s="8"/>
      <c r="F397" s="8"/>
      <c r="H397" s="8"/>
      <c r="I397" s="8"/>
      <c r="J397" s="8"/>
      <c r="K397" s="8"/>
      <c r="L397" s="8"/>
      <c r="M397" s="8"/>
    </row>
    <row r="398" spans="3:13">
      <c r="C398" s="8"/>
      <c r="D398" s="8"/>
      <c r="E398" s="8"/>
      <c r="F398" s="8"/>
      <c r="H398" s="8"/>
      <c r="I398" s="8"/>
      <c r="J398" s="8"/>
      <c r="K398" s="8"/>
      <c r="L398" s="8"/>
      <c r="M398" s="8"/>
    </row>
    <row r="399" spans="3:13">
      <c r="C399" s="8"/>
      <c r="D399" s="8"/>
      <c r="E399" s="8"/>
      <c r="F399" s="8"/>
      <c r="H399" s="8"/>
      <c r="I399" s="8"/>
      <c r="J399" s="8"/>
      <c r="K399" s="8"/>
      <c r="L399" s="8"/>
      <c r="M399" s="8"/>
    </row>
    <row r="400" spans="3:13">
      <c r="C400" s="8"/>
      <c r="D400" s="8"/>
      <c r="E400" s="8"/>
      <c r="F400" s="8"/>
      <c r="H400" s="8"/>
      <c r="I400" s="8"/>
      <c r="J400" s="8"/>
      <c r="K400" s="8"/>
      <c r="L400" s="8"/>
      <c r="M400" s="8"/>
    </row>
    <row r="401" spans="3:13">
      <c r="C401" s="8"/>
      <c r="D401" s="8"/>
      <c r="E401" s="8"/>
      <c r="F401" s="8"/>
      <c r="H401" s="8"/>
      <c r="I401" s="8"/>
      <c r="J401" s="8"/>
      <c r="K401" s="8"/>
      <c r="L401" s="8"/>
      <c r="M401" s="8"/>
    </row>
    <row r="402" spans="3:13">
      <c r="C402" s="8"/>
      <c r="D402" s="8"/>
      <c r="E402" s="8"/>
      <c r="F402" s="8"/>
      <c r="H402" s="8"/>
      <c r="I402" s="8"/>
      <c r="J402" s="8"/>
      <c r="K402" s="8"/>
      <c r="L402" s="8"/>
      <c r="M402" s="8"/>
    </row>
    <row r="403" spans="3:13">
      <c r="C403" s="8"/>
      <c r="D403" s="8"/>
      <c r="E403" s="8"/>
      <c r="F403" s="8"/>
      <c r="H403" s="8"/>
      <c r="I403" s="8"/>
      <c r="J403" s="8"/>
      <c r="K403" s="8"/>
      <c r="L403" s="8"/>
      <c r="M403" s="8"/>
    </row>
    <row r="404" spans="3:13">
      <c r="C404" s="8"/>
      <c r="D404" s="8"/>
      <c r="E404" s="8"/>
      <c r="F404" s="8"/>
      <c r="H404" s="8"/>
      <c r="I404" s="8"/>
      <c r="J404" s="8"/>
      <c r="K404" s="8"/>
      <c r="L404" s="8"/>
      <c r="M404" s="8"/>
    </row>
    <row r="405" spans="3:13">
      <c r="C405" s="8"/>
      <c r="D405" s="8"/>
      <c r="E405" s="8"/>
      <c r="F405" s="8"/>
      <c r="H405" s="8"/>
      <c r="I405" s="8"/>
      <c r="J405" s="8"/>
      <c r="K405" s="8"/>
      <c r="L405" s="8"/>
      <c r="M405" s="8"/>
    </row>
    <row r="406" spans="3:13">
      <c r="C406" s="8"/>
      <c r="D406" s="8"/>
      <c r="E406" s="8"/>
      <c r="F406" s="8"/>
      <c r="H406" s="8"/>
      <c r="I406" s="8"/>
      <c r="J406" s="8"/>
      <c r="K406" s="8"/>
      <c r="L406" s="8"/>
      <c r="M406" s="8"/>
    </row>
    <row r="407" spans="3:13">
      <c r="C407" s="8"/>
      <c r="D407" s="8"/>
      <c r="E407" s="8"/>
      <c r="F407" s="8"/>
      <c r="H407" s="8"/>
      <c r="I407" s="8"/>
      <c r="J407" s="8"/>
      <c r="K407" s="8"/>
      <c r="L407" s="8"/>
      <c r="M407" s="8"/>
    </row>
    <row r="408" spans="3:13">
      <c r="C408" s="8"/>
      <c r="D408" s="8"/>
      <c r="E408" s="8"/>
      <c r="F408" s="8"/>
      <c r="H408" s="8"/>
      <c r="I408" s="8"/>
      <c r="J408" s="8"/>
      <c r="K408" s="8"/>
      <c r="L408" s="8"/>
      <c r="M408" s="8"/>
    </row>
    <row r="409" spans="3:13">
      <c r="C409" s="8"/>
      <c r="D409" s="8"/>
      <c r="E409" s="8"/>
      <c r="F409" s="8"/>
      <c r="H409" s="8"/>
      <c r="I409" s="8"/>
      <c r="J409" s="8"/>
      <c r="K409" s="8"/>
      <c r="L409" s="8"/>
      <c r="M409" s="8"/>
    </row>
    <row r="410" spans="3:13">
      <c r="C410" s="8"/>
      <c r="D410" s="8"/>
      <c r="E410" s="8"/>
      <c r="F410" s="8"/>
      <c r="H410" s="8"/>
      <c r="I410" s="8"/>
      <c r="J410" s="8"/>
      <c r="K410" s="8"/>
      <c r="L410" s="8"/>
      <c r="M410" s="8"/>
    </row>
    <row r="411" spans="3:13">
      <c r="C411" s="8"/>
      <c r="D411" s="8"/>
      <c r="E411" s="8"/>
      <c r="F411" s="8"/>
      <c r="H411" s="8"/>
      <c r="I411" s="8"/>
      <c r="J411" s="8"/>
      <c r="K411" s="8"/>
      <c r="L411" s="8"/>
      <c r="M411" s="8"/>
    </row>
    <row r="412" spans="3:13">
      <c r="C412" s="8"/>
      <c r="D412" s="8"/>
      <c r="E412" s="8"/>
      <c r="F412" s="8"/>
      <c r="H412" s="8"/>
      <c r="I412" s="8"/>
      <c r="J412" s="8"/>
      <c r="K412" s="8"/>
      <c r="L412" s="8"/>
      <c r="M412" s="8"/>
    </row>
    <row r="413" spans="3:13">
      <c r="C413" s="8"/>
      <c r="D413" s="8"/>
      <c r="E413" s="8"/>
      <c r="F413" s="8"/>
      <c r="H413" s="8"/>
      <c r="I413" s="8"/>
      <c r="J413" s="8"/>
      <c r="K413" s="8"/>
      <c r="L413" s="8"/>
      <c r="M413" s="8"/>
    </row>
    <row r="414" spans="3:13">
      <c r="C414" s="8"/>
      <c r="D414" s="8"/>
      <c r="E414" s="8"/>
      <c r="F414" s="8"/>
      <c r="H414" s="8"/>
      <c r="I414" s="8"/>
      <c r="J414" s="8"/>
      <c r="K414" s="8"/>
      <c r="L414" s="8"/>
      <c r="M414" s="8"/>
    </row>
    <row r="415" spans="3:13">
      <c r="C415" s="8"/>
      <c r="D415" s="8"/>
      <c r="E415" s="8"/>
      <c r="F415" s="8"/>
      <c r="H415" s="8"/>
      <c r="I415" s="8"/>
      <c r="J415" s="8"/>
      <c r="K415" s="8"/>
      <c r="L415" s="8"/>
      <c r="M415" s="8"/>
    </row>
    <row r="416" spans="3:13">
      <c r="C416" s="8"/>
      <c r="D416" s="8"/>
      <c r="E416" s="8"/>
      <c r="F416" s="8"/>
      <c r="H416" s="8"/>
      <c r="I416" s="8"/>
      <c r="J416" s="8"/>
      <c r="K416" s="8"/>
      <c r="L416" s="8"/>
      <c r="M416" s="8"/>
    </row>
    <row r="417" spans="3:13">
      <c r="C417" s="8"/>
      <c r="D417" s="8"/>
      <c r="E417" s="8"/>
      <c r="F417" s="8"/>
      <c r="H417" s="8"/>
      <c r="I417" s="8"/>
      <c r="J417" s="8"/>
      <c r="K417" s="8"/>
      <c r="L417" s="8"/>
      <c r="M417" s="8"/>
    </row>
    <row r="418" spans="3:13">
      <c r="C418" s="8"/>
      <c r="D418" s="8"/>
      <c r="E418" s="8"/>
      <c r="F418" s="8"/>
      <c r="H418" s="8"/>
      <c r="I418" s="8"/>
      <c r="J418" s="8"/>
      <c r="K418" s="8"/>
      <c r="L418" s="8"/>
      <c r="M418" s="8"/>
    </row>
    <row r="419" spans="3:13">
      <c r="C419" s="8"/>
      <c r="D419" s="8"/>
      <c r="E419" s="8"/>
      <c r="F419" s="8"/>
      <c r="H419" s="8"/>
      <c r="I419" s="8"/>
      <c r="J419" s="8"/>
      <c r="K419" s="8"/>
      <c r="L419" s="8"/>
      <c r="M419" s="8"/>
    </row>
    <row r="420" spans="3:13">
      <c r="C420" s="8"/>
      <c r="D420" s="8"/>
      <c r="E420" s="8"/>
      <c r="F420" s="8"/>
      <c r="H420" s="8"/>
      <c r="I420" s="8"/>
      <c r="J420" s="8"/>
      <c r="K420" s="8"/>
      <c r="L420" s="8"/>
      <c r="M420" s="8"/>
    </row>
    <row r="421" spans="3:13">
      <c r="C421" s="8"/>
      <c r="D421" s="8"/>
      <c r="E421" s="8"/>
      <c r="F421" s="8"/>
      <c r="H421" s="8"/>
      <c r="I421" s="8"/>
      <c r="J421" s="8"/>
      <c r="K421" s="8"/>
      <c r="L421" s="8"/>
      <c r="M421" s="8"/>
    </row>
    <row r="422" spans="3:13">
      <c r="C422" s="8"/>
      <c r="D422" s="8"/>
      <c r="E422" s="8"/>
      <c r="F422" s="8"/>
      <c r="H422" s="8"/>
      <c r="I422" s="8"/>
      <c r="J422" s="8"/>
      <c r="K422" s="8"/>
      <c r="L422" s="8"/>
      <c r="M422" s="8"/>
    </row>
    <row r="423" spans="3:13">
      <c r="C423" s="8"/>
      <c r="D423" s="8"/>
      <c r="E423" s="8"/>
      <c r="F423" s="8"/>
      <c r="H423" s="8"/>
      <c r="I423" s="8"/>
      <c r="J423" s="8"/>
      <c r="K423" s="8"/>
      <c r="L423" s="8"/>
      <c r="M423" s="8"/>
    </row>
    <row r="424" spans="3:13">
      <c r="C424" s="8"/>
      <c r="D424" s="8"/>
      <c r="E424" s="8"/>
      <c r="F424" s="8"/>
      <c r="H424" s="8"/>
      <c r="I424" s="8"/>
      <c r="J424" s="8"/>
      <c r="K424" s="8"/>
      <c r="L424" s="8"/>
      <c r="M424" s="8"/>
    </row>
    <row r="425" spans="3:13">
      <c r="C425" s="8"/>
      <c r="D425" s="8"/>
      <c r="E425" s="8"/>
      <c r="F425" s="8"/>
      <c r="H425" s="8"/>
      <c r="I425" s="8"/>
      <c r="J425" s="8"/>
      <c r="K425" s="8"/>
      <c r="L425" s="8"/>
      <c r="M425" s="8"/>
    </row>
    <row r="426" spans="3:13">
      <c r="C426" s="8"/>
      <c r="D426" s="8"/>
      <c r="E426" s="8"/>
      <c r="F426" s="8"/>
      <c r="H426" s="8"/>
      <c r="I426" s="8"/>
      <c r="J426" s="8"/>
      <c r="K426" s="8"/>
      <c r="L426" s="8"/>
      <c r="M426" s="8"/>
    </row>
    <row r="427" spans="3:13">
      <c r="C427" s="8"/>
      <c r="D427" s="8"/>
      <c r="E427" s="8"/>
      <c r="F427" s="8"/>
      <c r="H427" s="8"/>
      <c r="I427" s="8"/>
      <c r="J427" s="8"/>
      <c r="K427" s="8"/>
      <c r="L427" s="8"/>
      <c r="M427" s="8"/>
    </row>
    <row r="428" spans="3:13">
      <c r="C428" s="8"/>
      <c r="D428" s="8"/>
      <c r="E428" s="8"/>
      <c r="F428" s="8"/>
      <c r="H428" s="8"/>
      <c r="I428" s="8"/>
      <c r="J428" s="8"/>
      <c r="K428" s="8"/>
      <c r="L428" s="8"/>
      <c r="M428" s="8"/>
    </row>
    <row r="429" spans="3:13">
      <c r="C429" s="8"/>
      <c r="D429" s="8"/>
      <c r="E429" s="8"/>
      <c r="F429" s="8"/>
      <c r="H429" s="8"/>
      <c r="I429" s="8"/>
      <c r="J429" s="8"/>
      <c r="K429" s="8"/>
      <c r="L429" s="8"/>
      <c r="M429" s="8"/>
    </row>
    <row r="430" spans="3:13">
      <c r="C430" s="8"/>
      <c r="D430" s="8"/>
      <c r="E430" s="8"/>
      <c r="F430" s="8"/>
      <c r="H430" s="8"/>
      <c r="I430" s="8"/>
      <c r="J430" s="8"/>
      <c r="K430" s="8"/>
      <c r="L430" s="8"/>
      <c r="M430" s="8"/>
    </row>
    <row r="431" spans="3:13">
      <c r="C431" s="8"/>
      <c r="D431" s="8"/>
      <c r="E431" s="8"/>
      <c r="F431" s="8"/>
      <c r="H431" s="8"/>
      <c r="I431" s="8"/>
      <c r="J431" s="8"/>
      <c r="K431" s="8"/>
      <c r="L431" s="8"/>
      <c r="M431" s="8"/>
    </row>
    <row r="432" spans="3:13">
      <c r="C432" s="8"/>
      <c r="D432" s="8"/>
      <c r="E432" s="8"/>
      <c r="F432" s="8"/>
      <c r="H432" s="8"/>
      <c r="I432" s="8"/>
      <c r="J432" s="8"/>
      <c r="K432" s="8"/>
      <c r="L432" s="8"/>
      <c r="M432" s="8"/>
    </row>
    <row r="433" spans="3:13">
      <c r="C433" s="8"/>
      <c r="D433" s="8"/>
      <c r="E433" s="8"/>
      <c r="F433" s="8"/>
      <c r="H433" s="8"/>
      <c r="I433" s="8"/>
      <c r="J433" s="8"/>
      <c r="K433" s="8"/>
      <c r="L433" s="8"/>
      <c r="M433" s="8"/>
    </row>
    <row r="434" spans="3:13">
      <c r="C434" s="8"/>
      <c r="D434" s="8"/>
      <c r="E434" s="8"/>
      <c r="F434" s="8"/>
      <c r="H434" s="8"/>
      <c r="I434" s="8"/>
      <c r="J434" s="8"/>
      <c r="K434" s="8"/>
      <c r="L434" s="8"/>
      <c r="M434" s="8"/>
    </row>
    <row r="435" spans="3:13">
      <c r="C435" s="8"/>
      <c r="D435" s="8"/>
      <c r="E435" s="8"/>
      <c r="F435" s="8"/>
      <c r="H435" s="8"/>
      <c r="I435" s="8"/>
      <c r="J435" s="8"/>
      <c r="K435" s="8"/>
      <c r="L435" s="8"/>
      <c r="M435" s="8"/>
    </row>
    <row r="436" spans="3:13">
      <c r="C436" s="8"/>
      <c r="D436" s="8"/>
      <c r="E436" s="8"/>
      <c r="F436" s="8"/>
      <c r="H436" s="8"/>
      <c r="I436" s="8"/>
      <c r="J436" s="8"/>
      <c r="K436" s="8"/>
      <c r="L436" s="8"/>
      <c r="M436" s="8"/>
    </row>
    <row r="437" spans="3:13">
      <c r="C437" s="8"/>
      <c r="D437" s="8"/>
      <c r="E437" s="8"/>
      <c r="F437" s="8"/>
      <c r="H437" s="8"/>
      <c r="I437" s="8"/>
      <c r="J437" s="8"/>
      <c r="K437" s="8"/>
      <c r="L437" s="8"/>
      <c r="M437" s="8"/>
    </row>
    <row r="438" spans="3:13">
      <c r="C438" s="8"/>
      <c r="D438" s="8"/>
      <c r="E438" s="8"/>
      <c r="F438" s="8"/>
      <c r="H438" s="8"/>
      <c r="I438" s="8"/>
      <c r="J438" s="8"/>
      <c r="K438" s="8"/>
      <c r="L438" s="8"/>
      <c r="M438" s="8"/>
    </row>
    <row r="439" spans="3:13">
      <c r="C439" s="8"/>
      <c r="D439" s="8"/>
      <c r="E439" s="8"/>
      <c r="F439" s="8"/>
      <c r="H439" s="8"/>
      <c r="I439" s="8"/>
      <c r="J439" s="8"/>
      <c r="K439" s="8"/>
      <c r="L439" s="8"/>
      <c r="M439" s="8"/>
    </row>
    <row r="440" spans="3:13">
      <c r="C440" s="8"/>
      <c r="D440" s="8"/>
      <c r="E440" s="8"/>
      <c r="F440" s="8"/>
      <c r="H440" s="8"/>
      <c r="I440" s="8"/>
      <c r="J440" s="8"/>
      <c r="K440" s="8"/>
      <c r="L440" s="8"/>
      <c r="M440" s="8"/>
    </row>
    <row r="441" spans="3:13">
      <c r="C441" s="8"/>
      <c r="D441" s="8"/>
      <c r="E441" s="8"/>
      <c r="F441" s="8"/>
      <c r="H441" s="8"/>
      <c r="I441" s="8"/>
      <c r="J441" s="8"/>
      <c r="K441" s="8"/>
      <c r="L441" s="8"/>
      <c r="M441" s="8"/>
    </row>
    <row r="442" spans="3:13">
      <c r="C442" s="8"/>
      <c r="D442" s="8"/>
      <c r="E442" s="8"/>
      <c r="F442" s="8"/>
      <c r="H442" s="8"/>
      <c r="I442" s="8"/>
      <c r="J442" s="8"/>
      <c r="K442" s="8"/>
      <c r="L442" s="8"/>
      <c r="M442" s="8"/>
    </row>
    <row r="443" spans="3:13">
      <c r="C443" s="8"/>
      <c r="D443" s="8"/>
      <c r="E443" s="8"/>
      <c r="F443" s="8"/>
      <c r="H443" s="8"/>
      <c r="I443" s="8"/>
      <c r="J443" s="8"/>
      <c r="K443" s="8"/>
      <c r="L443" s="8"/>
      <c r="M443" s="8"/>
    </row>
    <row r="444" spans="3:13">
      <c r="C444" s="8"/>
      <c r="D444" s="8"/>
      <c r="E444" s="8"/>
      <c r="F444" s="8"/>
      <c r="H444" s="8"/>
      <c r="I444" s="8"/>
      <c r="J444" s="8"/>
      <c r="K444" s="8"/>
      <c r="L444" s="8"/>
      <c r="M444" s="8"/>
    </row>
    <row r="445" spans="3:13">
      <c r="C445" s="8"/>
      <c r="D445" s="8"/>
      <c r="E445" s="8"/>
      <c r="F445" s="8"/>
      <c r="H445" s="8"/>
      <c r="I445" s="8"/>
      <c r="J445" s="8"/>
      <c r="K445" s="8"/>
      <c r="L445" s="8"/>
      <c r="M445" s="8"/>
    </row>
    <row r="446" spans="3:13">
      <c r="C446" s="8"/>
      <c r="D446" s="8"/>
      <c r="E446" s="8"/>
      <c r="F446" s="8"/>
      <c r="H446" s="8"/>
      <c r="I446" s="8"/>
      <c r="J446" s="8"/>
      <c r="K446" s="8"/>
      <c r="L446" s="8"/>
      <c r="M446" s="8"/>
    </row>
    <row r="447" spans="3:13">
      <c r="C447" s="8"/>
      <c r="D447" s="8"/>
      <c r="E447" s="8"/>
      <c r="F447" s="8"/>
      <c r="H447" s="8"/>
      <c r="I447" s="8"/>
      <c r="J447" s="8"/>
      <c r="K447" s="8"/>
      <c r="L447" s="8"/>
      <c r="M447" s="8"/>
    </row>
    <row r="448" spans="3:13">
      <c r="C448" s="8"/>
      <c r="D448" s="8"/>
      <c r="E448" s="8"/>
      <c r="F448" s="8"/>
      <c r="H448" s="8"/>
      <c r="I448" s="8"/>
      <c r="J448" s="8"/>
      <c r="K448" s="8"/>
      <c r="L448" s="8"/>
      <c r="M448" s="8"/>
    </row>
    <row r="449" spans="3:13">
      <c r="C449" s="8"/>
      <c r="D449" s="8"/>
      <c r="E449" s="8"/>
      <c r="F449" s="8"/>
      <c r="H449" s="8"/>
      <c r="I449" s="8"/>
      <c r="J449" s="8"/>
      <c r="K449" s="8"/>
      <c r="L449" s="8"/>
      <c r="M449" s="8"/>
    </row>
    <row r="450" spans="3:13">
      <c r="C450" s="8"/>
      <c r="D450" s="8"/>
      <c r="E450" s="8"/>
      <c r="F450" s="8"/>
      <c r="H450" s="8"/>
      <c r="I450" s="8"/>
      <c r="J450" s="8"/>
      <c r="K450" s="8"/>
      <c r="L450" s="8"/>
      <c r="M450" s="8"/>
    </row>
    <row r="451" spans="3:13">
      <c r="C451" s="8"/>
      <c r="D451" s="8"/>
      <c r="E451" s="8"/>
      <c r="F451" s="8"/>
      <c r="H451" s="8"/>
      <c r="I451" s="8"/>
      <c r="J451" s="8"/>
      <c r="K451" s="8"/>
      <c r="L451" s="8"/>
      <c r="M451" s="8"/>
    </row>
    <row r="452" spans="3:13">
      <c r="C452" s="8"/>
      <c r="D452" s="8"/>
      <c r="E452" s="8"/>
      <c r="F452" s="8"/>
      <c r="H452" s="8"/>
      <c r="I452" s="8"/>
      <c r="J452" s="8"/>
      <c r="K452" s="8"/>
      <c r="L452" s="8"/>
      <c r="M452" s="8"/>
    </row>
    <row r="453" spans="3:13">
      <c r="C453" s="8"/>
      <c r="D453" s="8"/>
      <c r="E453" s="8"/>
      <c r="F453" s="8"/>
      <c r="H453" s="8"/>
      <c r="I453" s="8"/>
      <c r="J453" s="8"/>
      <c r="K453" s="8"/>
      <c r="L453" s="8"/>
      <c r="M453" s="8"/>
    </row>
    <row r="454" spans="3:13">
      <c r="C454" s="8"/>
      <c r="D454" s="8"/>
      <c r="E454" s="8"/>
      <c r="F454" s="8"/>
      <c r="H454" s="8"/>
      <c r="I454" s="8"/>
      <c r="J454" s="8"/>
      <c r="K454" s="8"/>
      <c r="L454" s="8"/>
      <c r="M454" s="8"/>
    </row>
    <row r="455" spans="3:13">
      <c r="C455" s="8"/>
      <c r="D455" s="8"/>
      <c r="E455" s="8"/>
      <c r="F455" s="8"/>
      <c r="H455" s="8"/>
      <c r="I455" s="8"/>
      <c r="J455" s="8"/>
      <c r="K455" s="8"/>
      <c r="L455" s="8"/>
      <c r="M455" s="8"/>
    </row>
    <row r="456" spans="3:13">
      <c r="C456" s="8"/>
      <c r="D456" s="8"/>
      <c r="E456" s="8"/>
      <c r="F456" s="8"/>
      <c r="H456" s="8"/>
      <c r="I456" s="8"/>
      <c r="J456" s="8"/>
      <c r="K456" s="8"/>
      <c r="L456" s="8"/>
      <c r="M456" s="8"/>
    </row>
    <row r="457" spans="3:13">
      <c r="C457" s="8"/>
      <c r="D457" s="8"/>
      <c r="E457" s="8"/>
      <c r="F457" s="8"/>
      <c r="H457" s="8"/>
      <c r="I457" s="8"/>
      <c r="J457" s="8"/>
      <c r="K457" s="8"/>
      <c r="L457" s="8"/>
      <c r="M457" s="8"/>
    </row>
    <row r="458" spans="3:13">
      <c r="C458" s="8"/>
      <c r="D458" s="8"/>
      <c r="E458" s="8"/>
      <c r="F458" s="8"/>
      <c r="H458" s="8"/>
      <c r="I458" s="8"/>
      <c r="J458" s="8"/>
      <c r="K458" s="8"/>
      <c r="L458" s="8"/>
      <c r="M458" s="8"/>
    </row>
    <row r="459" spans="3:13">
      <c r="C459" s="8"/>
      <c r="D459" s="8"/>
      <c r="E459" s="8"/>
      <c r="F459" s="8"/>
      <c r="H459" s="8"/>
      <c r="I459" s="8"/>
      <c r="J459" s="8"/>
      <c r="K459" s="8"/>
      <c r="L459" s="8"/>
      <c r="M459" s="8"/>
    </row>
    <row r="460" spans="3:13">
      <c r="C460" s="8"/>
      <c r="D460" s="8"/>
      <c r="E460" s="8"/>
      <c r="F460" s="8"/>
      <c r="H460" s="8"/>
      <c r="I460" s="8"/>
      <c r="J460" s="8"/>
      <c r="K460" s="8"/>
      <c r="L460" s="8"/>
      <c r="M460" s="8"/>
    </row>
    <row r="461" spans="3:13">
      <c r="C461" s="8"/>
      <c r="D461" s="8"/>
      <c r="E461" s="8"/>
      <c r="F461" s="8"/>
      <c r="H461" s="8"/>
      <c r="I461" s="8"/>
      <c r="J461" s="8"/>
      <c r="K461" s="8"/>
      <c r="L461" s="8"/>
      <c r="M461" s="8"/>
    </row>
    <row r="462" spans="3:13">
      <c r="C462" s="8"/>
      <c r="D462" s="8"/>
      <c r="E462" s="8"/>
      <c r="F462" s="8"/>
      <c r="H462" s="8"/>
      <c r="I462" s="8"/>
      <c r="J462" s="8"/>
      <c r="K462" s="8"/>
      <c r="L462" s="8"/>
      <c r="M462" s="8"/>
    </row>
    <row r="463" spans="3:13">
      <c r="C463" s="8"/>
      <c r="D463" s="8"/>
      <c r="E463" s="8"/>
      <c r="F463" s="8"/>
      <c r="H463" s="8"/>
      <c r="I463" s="8"/>
      <c r="J463" s="8"/>
      <c r="K463" s="8"/>
      <c r="L463" s="8"/>
      <c r="M463" s="8"/>
    </row>
    <row r="464" spans="3:13">
      <c r="C464" s="8"/>
      <c r="D464" s="8"/>
      <c r="E464" s="8"/>
      <c r="F464" s="8"/>
      <c r="H464" s="8"/>
      <c r="I464" s="8"/>
      <c r="J464" s="8"/>
      <c r="K464" s="8"/>
      <c r="L464" s="8"/>
      <c r="M464" s="8"/>
    </row>
    <row r="465" spans="3:13">
      <c r="C465" s="8"/>
      <c r="D465" s="8"/>
      <c r="E465" s="8"/>
      <c r="F465" s="8"/>
      <c r="H465" s="8"/>
      <c r="I465" s="8"/>
      <c r="J465" s="8"/>
      <c r="K465" s="8"/>
      <c r="L465" s="8"/>
      <c r="M465" s="8"/>
    </row>
    <row r="466" spans="3:13">
      <c r="C466" s="8"/>
      <c r="D466" s="8"/>
      <c r="E466" s="8"/>
      <c r="F466" s="8"/>
      <c r="H466" s="8"/>
      <c r="I466" s="8"/>
      <c r="J466" s="8"/>
      <c r="K466" s="8"/>
      <c r="L466" s="8"/>
      <c r="M466" s="8"/>
    </row>
    <row r="467" spans="3:13">
      <c r="C467" s="8"/>
      <c r="D467" s="8"/>
      <c r="E467" s="8"/>
      <c r="F467" s="8"/>
      <c r="H467" s="8"/>
      <c r="I467" s="8"/>
      <c r="J467" s="8"/>
      <c r="K467" s="8"/>
      <c r="L467" s="8"/>
      <c r="M467" s="8"/>
    </row>
    <row r="468" spans="3:13">
      <c r="C468" s="8"/>
      <c r="D468" s="8"/>
      <c r="E468" s="8"/>
      <c r="F468" s="8"/>
      <c r="H468" s="8"/>
      <c r="I468" s="8"/>
      <c r="J468" s="8"/>
      <c r="K468" s="8"/>
      <c r="L468" s="8"/>
      <c r="M468" s="8"/>
    </row>
    <row r="469" spans="3:13">
      <c r="C469" s="8"/>
      <c r="D469" s="8"/>
      <c r="E469" s="8"/>
      <c r="F469" s="8"/>
      <c r="H469" s="8"/>
      <c r="I469" s="8"/>
      <c r="J469" s="8"/>
      <c r="K469" s="8"/>
      <c r="L469" s="8"/>
      <c r="M469" s="8"/>
    </row>
    <row r="470" spans="3:13">
      <c r="C470" s="8"/>
      <c r="D470" s="8"/>
      <c r="E470" s="8"/>
      <c r="F470" s="8"/>
      <c r="H470" s="8"/>
      <c r="I470" s="8"/>
      <c r="J470" s="8"/>
      <c r="K470" s="8"/>
      <c r="L470" s="8"/>
      <c r="M470" s="8"/>
    </row>
    <row r="471" spans="3:13">
      <c r="C471" s="8"/>
      <c r="D471" s="8"/>
      <c r="E471" s="8"/>
      <c r="F471" s="8"/>
      <c r="H471" s="8"/>
      <c r="I471" s="8"/>
      <c r="J471" s="8"/>
      <c r="K471" s="8"/>
      <c r="L471" s="8"/>
      <c r="M471" s="8"/>
    </row>
    <row r="472" spans="3:13">
      <c r="C472" s="8"/>
      <c r="D472" s="8"/>
      <c r="E472" s="8"/>
      <c r="F472" s="8"/>
      <c r="H472" s="8"/>
      <c r="I472" s="8"/>
      <c r="J472" s="8"/>
      <c r="K472" s="8"/>
      <c r="L472" s="8"/>
      <c r="M472" s="8"/>
    </row>
    <row r="473" spans="3:13">
      <c r="C473" s="8"/>
      <c r="D473" s="8"/>
      <c r="E473" s="8"/>
      <c r="F473" s="8"/>
      <c r="H473" s="8"/>
      <c r="I473" s="8"/>
      <c r="J473" s="8"/>
      <c r="K473" s="8"/>
      <c r="L473" s="8"/>
      <c r="M473" s="8"/>
    </row>
    <row r="474" spans="3:13">
      <c r="C474" s="8"/>
      <c r="D474" s="8"/>
      <c r="E474" s="8"/>
      <c r="F474" s="8"/>
      <c r="H474" s="8"/>
      <c r="I474" s="8"/>
      <c r="J474" s="8"/>
      <c r="K474" s="8"/>
      <c r="L474" s="8"/>
      <c r="M474" s="8"/>
    </row>
    <row r="475" spans="3:13">
      <c r="C475" s="8"/>
      <c r="D475" s="8"/>
      <c r="E475" s="8"/>
      <c r="F475" s="8"/>
      <c r="H475" s="8"/>
      <c r="I475" s="8"/>
      <c r="J475" s="8"/>
      <c r="K475" s="8"/>
      <c r="L475" s="8"/>
      <c r="M475" s="8"/>
    </row>
    <row r="476" spans="3:13">
      <c r="C476" s="8"/>
      <c r="D476" s="8"/>
      <c r="E476" s="8"/>
      <c r="F476" s="8"/>
      <c r="H476" s="8"/>
      <c r="I476" s="8"/>
      <c r="J476" s="8"/>
      <c r="K476" s="8"/>
      <c r="L476" s="8"/>
      <c r="M476" s="8"/>
    </row>
    <row r="477" spans="3:13">
      <c r="C477" s="8"/>
      <c r="D477" s="8"/>
      <c r="E477" s="8"/>
      <c r="F477" s="8"/>
      <c r="H477" s="8"/>
      <c r="I477" s="8"/>
      <c r="J477" s="8"/>
      <c r="K477" s="8"/>
      <c r="L477" s="8"/>
      <c r="M477" s="8"/>
    </row>
    <row r="478" spans="3:13">
      <c r="C478" s="8"/>
      <c r="D478" s="8"/>
      <c r="E478" s="8"/>
      <c r="F478" s="8"/>
      <c r="H478" s="8"/>
      <c r="I478" s="8"/>
      <c r="J478" s="8"/>
      <c r="K478" s="8"/>
      <c r="L478" s="8"/>
      <c r="M478" s="8"/>
    </row>
    <row r="479" spans="3:13">
      <c r="C479" s="8"/>
      <c r="D479" s="8"/>
      <c r="E479" s="8"/>
      <c r="F479" s="8"/>
      <c r="H479" s="8"/>
      <c r="I479" s="8"/>
      <c r="J479" s="8"/>
      <c r="K479" s="8"/>
      <c r="L479" s="8"/>
      <c r="M479" s="8"/>
    </row>
    <row r="480" spans="3:13">
      <c r="C480" s="8"/>
      <c r="D480" s="8"/>
      <c r="E480" s="8"/>
      <c r="F480" s="8"/>
      <c r="H480" s="8"/>
      <c r="I480" s="8"/>
      <c r="J480" s="8"/>
      <c r="K480" s="8"/>
      <c r="L480" s="8"/>
      <c r="M480" s="8"/>
    </row>
    <row r="481" spans="3:13">
      <c r="C481" s="8"/>
      <c r="D481" s="8"/>
      <c r="E481" s="8"/>
      <c r="F481" s="8"/>
      <c r="H481" s="8"/>
      <c r="I481" s="8"/>
      <c r="J481" s="8"/>
      <c r="K481" s="8"/>
      <c r="L481" s="8"/>
      <c r="M481" s="8"/>
    </row>
    <row r="482" spans="3:13">
      <c r="C482" s="8"/>
      <c r="D482" s="8"/>
      <c r="E482" s="8"/>
      <c r="F482" s="8"/>
      <c r="H482" s="8"/>
      <c r="I482" s="8"/>
      <c r="J482" s="8"/>
      <c r="K482" s="8"/>
      <c r="L482" s="8"/>
      <c r="M482" s="8"/>
    </row>
    <row r="483" spans="3:13">
      <c r="C483" s="8"/>
      <c r="D483" s="8"/>
      <c r="E483" s="8"/>
      <c r="F483" s="8"/>
      <c r="H483" s="8"/>
      <c r="I483" s="8"/>
      <c r="J483" s="8"/>
      <c r="K483" s="8"/>
      <c r="L483" s="8"/>
      <c r="M483" s="8"/>
    </row>
    <row r="484" spans="3:13">
      <c r="C484" s="8"/>
      <c r="D484" s="8"/>
      <c r="E484" s="8"/>
      <c r="F484" s="8"/>
      <c r="H484" s="8"/>
      <c r="I484" s="8"/>
      <c r="J484" s="8"/>
      <c r="K484" s="8"/>
      <c r="L484" s="8"/>
      <c r="M484" s="8"/>
    </row>
    <row r="485" spans="3:13">
      <c r="C485" s="8"/>
      <c r="D485" s="8"/>
      <c r="E485" s="8"/>
      <c r="F485" s="8"/>
      <c r="H485" s="8"/>
      <c r="I485" s="8"/>
      <c r="J485" s="8"/>
      <c r="K485" s="8"/>
      <c r="L485" s="8"/>
      <c r="M485" s="8"/>
    </row>
    <row r="486" spans="3:13">
      <c r="C486" s="8"/>
      <c r="D486" s="8"/>
      <c r="E486" s="8"/>
      <c r="F486" s="8"/>
      <c r="H486" s="8"/>
      <c r="I486" s="8"/>
      <c r="J486" s="8"/>
      <c r="K486" s="8"/>
      <c r="L486" s="8"/>
      <c r="M486" s="8"/>
    </row>
    <row r="487" spans="3:13">
      <c r="C487" s="8"/>
      <c r="D487" s="8"/>
      <c r="E487" s="8"/>
      <c r="F487" s="8"/>
      <c r="H487" s="8"/>
      <c r="I487" s="8"/>
      <c r="J487" s="8"/>
      <c r="K487" s="8"/>
      <c r="L487" s="8"/>
      <c r="M487" s="8"/>
    </row>
    <row r="488" spans="3:13">
      <c r="C488" s="8"/>
      <c r="D488" s="8"/>
      <c r="E488" s="8"/>
      <c r="F488" s="8"/>
      <c r="H488" s="8"/>
      <c r="I488" s="8"/>
      <c r="J488" s="8"/>
      <c r="K488" s="8"/>
      <c r="L488" s="8"/>
      <c r="M488" s="8"/>
    </row>
    <row r="489" spans="3:13">
      <c r="C489" s="8"/>
      <c r="D489" s="8"/>
      <c r="E489" s="8"/>
      <c r="F489" s="8"/>
      <c r="H489" s="8"/>
      <c r="I489" s="8"/>
      <c r="J489" s="8"/>
      <c r="K489" s="8"/>
      <c r="L489" s="8"/>
      <c r="M489" s="8"/>
    </row>
    <row r="490" spans="3:13">
      <c r="C490" s="8"/>
      <c r="D490" s="8"/>
      <c r="E490" s="8"/>
      <c r="F490" s="8"/>
      <c r="H490" s="8"/>
      <c r="I490" s="8"/>
      <c r="J490" s="8"/>
      <c r="K490" s="8"/>
      <c r="L490" s="8"/>
      <c r="M490" s="8"/>
    </row>
    <row r="491" spans="3:13">
      <c r="C491" s="8"/>
      <c r="D491" s="8"/>
      <c r="E491" s="8"/>
      <c r="F491" s="8"/>
      <c r="H491" s="8"/>
      <c r="I491" s="8"/>
      <c r="J491" s="8"/>
      <c r="K491" s="8"/>
      <c r="L491" s="8"/>
      <c r="M491" s="8"/>
    </row>
    <row r="492" spans="3:13">
      <c r="C492" s="8"/>
      <c r="D492" s="8"/>
      <c r="E492" s="8"/>
      <c r="F492" s="8"/>
      <c r="H492" s="8"/>
      <c r="I492" s="8"/>
      <c r="J492" s="8"/>
      <c r="K492" s="8"/>
      <c r="L492" s="8"/>
      <c r="M492" s="8"/>
    </row>
    <row r="493" spans="3:13">
      <c r="C493" s="8"/>
      <c r="D493" s="8"/>
      <c r="E493" s="8"/>
      <c r="F493" s="8"/>
      <c r="H493" s="8"/>
      <c r="I493" s="8"/>
      <c r="J493" s="8"/>
      <c r="K493" s="8"/>
      <c r="L493" s="8"/>
      <c r="M493" s="8"/>
    </row>
    <row r="494" spans="3:13">
      <c r="C494" s="8"/>
      <c r="D494" s="8"/>
      <c r="E494" s="8"/>
      <c r="F494" s="8"/>
      <c r="H494" s="8"/>
      <c r="I494" s="8"/>
      <c r="J494" s="8"/>
      <c r="K494" s="8"/>
      <c r="L494" s="8"/>
      <c r="M494" s="8"/>
    </row>
    <row r="495" spans="3:13">
      <c r="C495" s="8"/>
      <c r="D495" s="8"/>
      <c r="E495" s="8"/>
      <c r="F495" s="8"/>
      <c r="H495" s="8"/>
      <c r="I495" s="8"/>
      <c r="J495" s="8"/>
      <c r="K495" s="8"/>
      <c r="L495" s="8"/>
      <c r="M495" s="8"/>
    </row>
    <row r="496" spans="3:13">
      <c r="C496" s="8"/>
      <c r="D496" s="8"/>
      <c r="E496" s="8"/>
      <c r="F496" s="8"/>
      <c r="H496" s="8"/>
      <c r="I496" s="8"/>
      <c r="J496" s="8"/>
      <c r="K496" s="8"/>
      <c r="L496" s="8"/>
      <c r="M496" s="8"/>
    </row>
    <row r="497" spans="3:13">
      <c r="C497" s="8"/>
      <c r="D497" s="8"/>
      <c r="E497" s="8"/>
      <c r="F497" s="8"/>
      <c r="H497" s="8"/>
      <c r="I497" s="8"/>
      <c r="J497" s="8"/>
      <c r="K497" s="8"/>
      <c r="L497" s="8"/>
      <c r="M497" s="8"/>
    </row>
    <row r="498" spans="3:13">
      <c r="C498" s="8"/>
      <c r="D498" s="8"/>
      <c r="E498" s="8"/>
      <c r="F498" s="8"/>
      <c r="H498" s="8"/>
      <c r="I498" s="8"/>
      <c r="J498" s="8"/>
      <c r="K498" s="8"/>
      <c r="L498" s="8"/>
      <c r="M498" s="8"/>
    </row>
    <row r="499" spans="3:13">
      <c r="C499" s="8"/>
      <c r="D499" s="8"/>
      <c r="E499" s="8"/>
      <c r="F499" s="8"/>
      <c r="H499" s="8"/>
      <c r="I499" s="8"/>
      <c r="J499" s="8"/>
      <c r="K499" s="8"/>
      <c r="L499" s="8"/>
      <c r="M499" s="8"/>
    </row>
    <row r="500" spans="3:13">
      <c r="C500" s="8"/>
      <c r="D500" s="8"/>
      <c r="E500" s="8"/>
      <c r="F500" s="8"/>
      <c r="H500" s="8"/>
      <c r="I500" s="8"/>
      <c r="J500" s="8"/>
      <c r="K500" s="8"/>
      <c r="L500" s="8"/>
      <c r="M500" s="8"/>
    </row>
    <row r="501" spans="3:13">
      <c r="C501" s="8"/>
      <c r="D501" s="8"/>
      <c r="E501" s="8"/>
      <c r="F501" s="8"/>
      <c r="H501" s="8"/>
      <c r="I501" s="8"/>
      <c r="J501" s="8"/>
      <c r="K501" s="8"/>
      <c r="L501" s="8"/>
      <c r="M501" s="8"/>
    </row>
    <row r="502" spans="3:13">
      <c r="C502" s="8"/>
      <c r="D502" s="8"/>
      <c r="E502" s="8"/>
      <c r="F502" s="8"/>
      <c r="H502" s="8"/>
      <c r="I502" s="8"/>
      <c r="J502" s="8"/>
      <c r="K502" s="8"/>
      <c r="L502" s="8"/>
      <c r="M502" s="8"/>
    </row>
    <row r="503" spans="3:13">
      <c r="C503" s="8"/>
      <c r="D503" s="8"/>
      <c r="E503" s="8"/>
      <c r="F503" s="8"/>
      <c r="H503" s="8"/>
      <c r="I503" s="8"/>
      <c r="J503" s="8"/>
      <c r="K503" s="8"/>
      <c r="L503" s="8"/>
      <c r="M503" s="8"/>
    </row>
    <row r="504" spans="3:13">
      <c r="C504" s="8"/>
      <c r="D504" s="8"/>
      <c r="E504" s="8"/>
      <c r="F504" s="8"/>
      <c r="H504" s="8"/>
      <c r="I504" s="8"/>
      <c r="J504" s="8"/>
      <c r="K504" s="8"/>
      <c r="L504" s="8"/>
      <c r="M504" s="8"/>
    </row>
    <row r="505" spans="3:13">
      <c r="C505" s="8"/>
      <c r="D505" s="8"/>
      <c r="E505" s="8"/>
      <c r="F505" s="8"/>
      <c r="H505" s="8"/>
      <c r="I505" s="8"/>
      <c r="J505" s="8"/>
      <c r="K505" s="8"/>
      <c r="L505" s="8"/>
      <c r="M505" s="8"/>
    </row>
    <row r="506" spans="3:13">
      <c r="C506" s="8"/>
      <c r="D506" s="8"/>
      <c r="E506" s="8"/>
      <c r="F506" s="8"/>
      <c r="H506" s="8"/>
      <c r="I506" s="8"/>
      <c r="J506" s="8"/>
      <c r="K506" s="8"/>
      <c r="L506" s="8"/>
      <c r="M506" s="8"/>
    </row>
    <row r="507" spans="3:13">
      <c r="C507" s="8"/>
      <c r="D507" s="8"/>
      <c r="E507" s="8"/>
      <c r="F507" s="8"/>
      <c r="H507" s="8"/>
      <c r="I507" s="8"/>
      <c r="J507" s="8"/>
      <c r="K507" s="8"/>
      <c r="L507" s="8"/>
      <c r="M507" s="8"/>
    </row>
    <row r="508" spans="3:13">
      <c r="C508" s="8"/>
      <c r="D508" s="8"/>
      <c r="E508" s="8"/>
      <c r="F508" s="8"/>
      <c r="H508" s="8"/>
      <c r="I508" s="8"/>
      <c r="J508" s="8"/>
      <c r="K508" s="8"/>
      <c r="L508" s="8"/>
      <c r="M508" s="8"/>
    </row>
    <row r="509" spans="3:13">
      <c r="C509" s="8"/>
      <c r="D509" s="8"/>
      <c r="E509" s="8"/>
      <c r="F509" s="8"/>
      <c r="H509" s="8"/>
      <c r="I509" s="8"/>
      <c r="J509" s="8"/>
      <c r="K509" s="8"/>
      <c r="L509" s="8"/>
      <c r="M509" s="8"/>
    </row>
    <row r="510" spans="3:13">
      <c r="C510" s="8"/>
      <c r="D510" s="8"/>
      <c r="E510" s="8"/>
      <c r="F510" s="8"/>
      <c r="H510" s="8"/>
      <c r="I510" s="8"/>
      <c r="J510" s="8"/>
      <c r="K510" s="8"/>
      <c r="L510" s="8"/>
      <c r="M510" s="8"/>
    </row>
    <row r="511" spans="3:13">
      <c r="C511" s="8"/>
      <c r="D511" s="8"/>
      <c r="E511" s="8"/>
      <c r="F511" s="8"/>
      <c r="H511" s="8"/>
      <c r="I511" s="8"/>
      <c r="J511" s="8"/>
      <c r="K511" s="8"/>
      <c r="L511" s="8"/>
      <c r="M511" s="8"/>
    </row>
    <row r="512" spans="3:13">
      <c r="C512" s="8"/>
      <c r="D512" s="8"/>
      <c r="E512" s="8"/>
      <c r="F512" s="8"/>
      <c r="H512" s="8"/>
      <c r="I512" s="8"/>
      <c r="J512" s="8"/>
      <c r="K512" s="8"/>
      <c r="L512" s="8"/>
      <c r="M512" s="8"/>
    </row>
    <row r="513" spans="3:13">
      <c r="C513" s="8"/>
      <c r="D513" s="8"/>
      <c r="E513" s="8"/>
      <c r="F513" s="8"/>
      <c r="H513" s="8"/>
      <c r="I513" s="8"/>
      <c r="J513" s="8"/>
      <c r="K513" s="8"/>
      <c r="L513" s="8"/>
      <c r="M513" s="8"/>
    </row>
    <row r="514" spans="3:13">
      <c r="C514" s="8"/>
      <c r="D514" s="8"/>
      <c r="E514" s="8"/>
      <c r="F514" s="8"/>
      <c r="H514" s="8"/>
      <c r="I514" s="8"/>
      <c r="J514" s="8"/>
      <c r="K514" s="8"/>
      <c r="L514" s="8"/>
      <c r="M514" s="8"/>
    </row>
    <row r="515" spans="3:13">
      <c r="C515" s="8"/>
      <c r="D515" s="8"/>
      <c r="E515" s="8"/>
      <c r="F515" s="8"/>
      <c r="H515" s="8"/>
      <c r="I515" s="8"/>
      <c r="J515" s="8"/>
      <c r="K515" s="8"/>
      <c r="L515" s="8"/>
      <c r="M515" s="8"/>
    </row>
    <row r="516" spans="3:13">
      <c r="C516" s="8"/>
      <c r="D516" s="8"/>
      <c r="E516" s="8"/>
      <c r="F516" s="8"/>
      <c r="H516" s="8"/>
      <c r="I516" s="8"/>
      <c r="J516" s="8"/>
      <c r="K516" s="8"/>
      <c r="L516" s="8"/>
      <c r="M516" s="8"/>
    </row>
    <row r="517" spans="3:13">
      <c r="C517" s="8"/>
      <c r="D517" s="8"/>
      <c r="E517" s="8"/>
      <c r="F517" s="8"/>
      <c r="H517" s="8"/>
      <c r="I517" s="8"/>
      <c r="J517" s="8"/>
      <c r="K517" s="8"/>
      <c r="L517" s="8"/>
      <c r="M517" s="8"/>
    </row>
    <row r="518" spans="3:13">
      <c r="C518" s="8"/>
      <c r="D518" s="8"/>
      <c r="E518" s="8"/>
      <c r="F518" s="8"/>
      <c r="H518" s="8"/>
      <c r="I518" s="8"/>
      <c r="J518" s="8"/>
      <c r="K518" s="8"/>
      <c r="L518" s="8"/>
      <c r="M518" s="8"/>
    </row>
    <row r="519" spans="3:13">
      <c r="C519" s="8"/>
      <c r="D519" s="8"/>
      <c r="E519" s="8"/>
      <c r="F519" s="8"/>
      <c r="H519" s="8"/>
      <c r="I519" s="8"/>
      <c r="J519" s="8"/>
      <c r="K519" s="8"/>
      <c r="L519" s="8"/>
      <c r="M519" s="8"/>
    </row>
    <row r="520" spans="3:13">
      <c r="C520" s="8"/>
      <c r="D520" s="8"/>
      <c r="E520" s="8"/>
      <c r="F520" s="8"/>
      <c r="H520" s="8"/>
      <c r="I520" s="8"/>
      <c r="J520" s="8"/>
      <c r="K520" s="8"/>
      <c r="L520" s="8"/>
      <c r="M520" s="8"/>
    </row>
    <row r="521" spans="3:13">
      <c r="C521" s="8"/>
      <c r="D521" s="8"/>
      <c r="E521" s="8"/>
      <c r="F521" s="8"/>
      <c r="H521" s="8"/>
      <c r="I521" s="8"/>
      <c r="J521" s="8"/>
      <c r="K521" s="8"/>
      <c r="L521" s="8"/>
      <c r="M521" s="8"/>
    </row>
    <row r="522" spans="3:13">
      <c r="C522" s="8"/>
      <c r="D522" s="8"/>
      <c r="E522" s="8"/>
      <c r="F522" s="8"/>
      <c r="H522" s="8"/>
      <c r="I522" s="8"/>
      <c r="J522" s="8"/>
      <c r="K522" s="8"/>
      <c r="L522" s="8"/>
      <c r="M522" s="8"/>
    </row>
    <row r="523" spans="3:13">
      <c r="C523" s="8"/>
      <c r="D523" s="8"/>
      <c r="E523" s="8"/>
      <c r="F523" s="8"/>
      <c r="H523" s="8"/>
      <c r="I523" s="8"/>
      <c r="J523" s="8"/>
      <c r="K523" s="8"/>
      <c r="L523" s="8"/>
      <c r="M523" s="8"/>
    </row>
    <row r="524" spans="3:13">
      <c r="C524" s="8"/>
      <c r="D524" s="8"/>
      <c r="E524" s="8"/>
      <c r="F524" s="8"/>
      <c r="H524" s="8"/>
      <c r="I524" s="8"/>
      <c r="J524" s="8"/>
      <c r="K524" s="8"/>
      <c r="L524" s="8"/>
      <c r="M524" s="8"/>
    </row>
    <row r="525" spans="3:13">
      <c r="C525" s="8"/>
      <c r="D525" s="8"/>
      <c r="E525" s="8"/>
      <c r="F525" s="8"/>
      <c r="H525" s="8"/>
      <c r="I525" s="8"/>
      <c r="J525" s="8"/>
      <c r="K525" s="8"/>
      <c r="L525" s="8"/>
      <c r="M525" s="8"/>
    </row>
    <row r="526" spans="3:13">
      <c r="C526" s="8"/>
      <c r="D526" s="8"/>
      <c r="E526" s="8"/>
      <c r="F526" s="8"/>
      <c r="H526" s="8"/>
      <c r="I526" s="8"/>
      <c r="J526" s="8"/>
      <c r="K526" s="8"/>
      <c r="L526" s="8"/>
      <c r="M526" s="8"/>
    </row>
    <row r="527" spans="3:13">
      <c r="C527" s="8"/>
      <c r="D527" s="8"/>
      <c r="E527" s="8"/>
      <c r="F527" s="8"/>
      <c r="H527" s="8"/>
      <c r="I527" s="8"/>
      <c r="J527" s="8"/>
      <c r="K527" s="8"/>
      <c r="L527" s="8"/>
      <c r="M527" s="8"/>
    </row>
    <row r="528" spans="3:13">
      <c r="C528" s="8"/>
      <c r="D528" s="8"/>
      <c r="E528" s="8"/>
      <c r="F528" s="8"/>
      <c r="H528" s="8"/>
      <c r="I528" s="8"/>
      <c r="J528" s="8"/>
      <c r="K528" s="8"/>
      <c r="L528" s="8"/>
      <c r="M528" s="8"/>
    </row>
    <row r="529" spans="3:13">
      <c r="C529" s="8"/>
      <c r="D529" s="8"/>
      <c r="E529" s="8"/>
      <c r="F529" s="8"/>
      <c r="H529" s="8"/>
      <c r="I529" s="8"/>
      <c r="J529" s="8"/>
      <c r="K529" s="8"/>
      <c r="L529" s="8"/>
      <c r="M529" s="8"/>
    </row>
    <row r="530" spans="3:13">
      <c r="C530" s="8"/>
      <c r="D530" s="8"/>
      <c r="E530" s="8"/>
      <c r="F530" s="8"/>
      <c r="H530" s="8"/>
      <c r="I530" s="8"/>
      <c r="J530" s="8"/>
      <c r="K530" s="8"/>
      <c r="L530" s="8"/>
      <c r="M530" s="8"/>
    </row>
    <row r="531" spans="3:13">
      <c r="C531" s="8"/>
      <c r="D531" s="8"/>
      <c r="E531" s="8"/>
      <c r="F531" s="8"/>
      <c r="H531" s="8"/>
      <c r="I531" s="8"/>
      <c r="J531" s="8"/>
      <c r="K531" s="8"/>
      <c r="L531" s="8"/>
      <c r="M531" s="8"/>
    </row>
    <row r="532" spans="3:13">
      <c r="C532" s="8"/>
      <c r="D532" s="8"/>
      <c r="E532" s="8"/>
      <c r="F532" s="8"/>
      <c r="H532" s="8"/>
      <c r="I532" s="8"/>
      <c r="J532" s="8"/>
      <c r="K532" s="8"/>
      <c r="L532" s="8"/>
      <c r="M532" s="8"/>
    </row>
    <row r="533" spans="3:13">
      <c r="C533" s="8"/>
      <c r="D533" s="8"/>
      <c r="E533" s="8"/>
      <c r="F533" s="8"/>
      <c r="H533" s="8"/>
      <c r="I533" s="8"/>
      <c r="J533" s="8"/>
      <c r="K533" s="8"/>
      <c r="L533" s="8"/>
      <c r="M533" s="8"/>
    </row>
    <row r="534" spans="3:13">
      <c r="C534" s="8"/>
      <c r="D534" s="8"/>
      <c r="E534" s="8"/>
      <c r="F534" s="8"/>
      <c r="H534" s="8"/>
      <c r="I534" s="8"/>
      <c r="J534" s="8"/>
      <c r="K534" s="8"/>
      <c r="L534" s="8"/>
      <c r="M534" s="8"/>
    </row>
    <row r="535" spans="3:13">
      <c r="C535" s="8"/>
      <c r="D535" s="8"/>
      <c r="E535" s="8"/>
      <c r="F535" s="8"/>
      <c r="H535" s="8"/>
      <c r="I535" s="8"/>
      <c r="J535" s="8"/>
      <c r="K535" s="8"/>
      <c r="L535" s="8"/>
      <c r="M535" s="8"/>
    </row>
    <row r="536" spans="3:13">
      <c r="C536" s="8"/>
      <c r="D536" s="8"/>
      <c r="E536" s="8"/>
      <c r="F536" s="8"/>
      <c r="H536" s="8"/>
      <c r="I536" s="8"/>
      <c r="J536" s="8"/>
      <c r="K536" s="8"/>
      <c r="L536" s="8"/>
      <c r="M536" s="8"/>
    </row>
    <row r="537" spans="3:13">
      <c r="C537" s="8"/>
      <c r="D537" s="8"/>
      <c r="E537" s="8"/>
      <c r="F537" s="8"/>
      <c r="H537" s="8"/>
      <c r="I537" s="8"/>
      <c r="J537" s="8"/>
      <c r="K537" s="8"/>
      <c r="L537" s="8"/>
      <c r="M537" s="8"/>
    </row>
    <row r="538" spans="3:13">
      <c r="C538" s="8"/>
      <c r="D538" s="8"/>
      <c r="E538" s="8"/>
      <c r="F538" s="8"/>
      <c r="H538" s="8"/>
      <c r="I538" s="8"/>
      <c r="J538" s="8"/>
      <c r="K538" s="8"/>
      <c r="L538" s="8"/>
      <c r="M538" s="8"/>
    </row>
    <row r="539" spans="3:13">
      <c r="C539" s="8"/>
      <c r="D539" s="8"/>
      <c r="E539" s="8"/>
      <c r="F539" s="8"/>
      <c r="H539" s="8"/>
      <c r="I539" s="8"/>
      <c r="J539" s="8"/>
      <c r="K539" s="8"/>
      <c r="L539" s="8"/>
      <c r="M539" s="8"/>
    </row>
    <row r="540" spans="3:13">
      <c r="C540" s="8"/>
      <c r="D540" s="8"/>
      <c r="E540" s="8"/>
      <c r="F540" s="8"/>
      <c r="H540" s="8"/>
      <c r="I540" s="8"/>
      <c r="J540" s="8"/>
      <c r="K540" s="8"/>
      <c r="L540" s="8"/>
      <c r="M540" s="8"/>
    </row>
    <row r="541" spans="3:13">
      <c r="C541" s="8"/>
      <c r="D541" s="8"/>
      <c r="E541" s="8"/>
      <c r="F541" s="8"/>
      <c r="H541" s="8"/>
      <c r="I541" s="8"/>
      <c r="J541" s="8"/>
      <c r="K541" s="8"/>
      <c r="L541" s="8"/>
      <c r="M541" s="8"/>
    </row>
    <row r="542" spans="3:13">
      <c r="C542" s="8"/>
      <c r="D542" s="8"/>
      <c r="E542" s="8"/>
      <c r="F542" s="8"/>
      <c r="H542" s="8"/>
      <c r="I542" s="8"/>
      <c r="J542" s="8"/>
      <c r="K542" s="8"/>
      <c r="L542" s="8"/>
      <c r="M542" s="8"/>
    </row>
    <row r="543" spans="3:13">
      <c r="C543" s="8"/>
      <c r="D543" s="8"/>
      <c r="E543" s="8"/>
      <c r="F543" s="8"/>
      <c r="H543" s="8"/>
      <c r="I543" s="8"/>
      <c r="J543" s="8"/>
      <c r="K543" s="8"/>
      <c r="L543" s="8"/>
      <c r="M543" s="8"/>
    </row>
    <row r="544" spans="3:13">
      <c r="C544" s="8"/>
      <c r="D544" s="8"/>
      <c r="E544" s="8"/>
      <c r="F544" s="8"/>
      <c r="H544" s="8"/>
      <c r="I544" s="8"/>
      <c r="J544" s="8"/>
      <c r="K544" s="8"/>
      <c r="L544" s="8"/>
      <c r="M544" s="8"/>
    </row>
    <row r="545" spans="3:13">
      <c r="C545" s="8"/>
      <c r="D545" s="8"/>
      <c r="E545" s="8"/>
      <c r="F545" s="8"/>
      <c r="H545" s="8"/>
      <c r="I545" s="8"/>
      <c r="J545" s="8"/>
      <c r="K545" s="8"/>
      <c r="L545" s="8"/>
      <c r="M545" s="8"/>
    </row>
    <row r="546" spans="3:13">
      <c r="C546" s="8"/>
      <c r="D546" s="8"/>
      <c r="E546" s="8"/>
      <c r="F546" s="8"/>
      <c r="H546" s="8"/>
      <c r="I546" s="8"/>
      <c r="J546" s="8"/>
      <c r="K546" s="8"/>
      <c r="L546" s="8"/>
      <c r="M546" s="8"/>
    </row>
    <row r="547" spans="3:13">
      <c r="C547" s="8"/>
      <c r="D547" s="8"/>
      <c r="E547" s="8"/>
      <c r="F547" s="8"/>
      <c r="H547" s="8"/>
      <c r="I547" s="8"/>
      <c r="J547" s="8"/>
      <c r="K547" s="8"/>
      <c r="L547" s="8"/>
      <c r="M547" s="8"/>
    </row>
    <row r="548" spans="3:13">
      <c r="C548" s="8"/>
      <c r="D548" s="8"/>
      <c r="E548" s="8"/>
      <c r="F548" s="8"/>
      <c r="H548" s="8"/>
      <c r="I548" s="8"/>
      <c r="J548" s="8"/>
      <c r="K548" s="8"/>
      <c r="L548" s="8"/>
      <c r="M548" s="8"/>
    </row>
    <row r="549" spans="3:13">
      <c r="C549" s="8"/>
      <c r="D549" s="8"/>
      <c r="E549" s="8"/>
      <c r="F549" s="8"/>
      <c r="H549" s="8"/>
      <c r="I549" s="8"/>
      <c r="J549" s="8"/>
      <c r="K549" s="8"/>
      <c r="L549" s="8"/>
      <c r="M549" s="8"/>
    </row>
    <row r="550" spans="3:13">
      <c r="C550" s="8"/>
      <c r="D550" s="8"/>
      <c r="E550" s="8"/>
      <c r="F550" s="8"/>
      <c r="H550" s="8"/>
      <c r="I550" s="8"/>
      <c r="J550" s="8"/>
      <c r="K550" s="8"/>
      <c r="L550" s="8"/>
      <c r="M550" s="8"/>
    </row>
    <row r="551" spans="3:13">
      <c r="C551" s="8"/>
      <c r="D551" s="8"/>
      <c r="E551" s="8"/>
      <c r="F551" s="8"/>
      <c r="H551" s="8"/>
      <c r="I551" s="8"/>
      <c r="J551" s="8"/>
      <c r="K551" s="8"/>
      <c r="L551" s="8"/>
      <c r="M551" s="8"/>
    </row>
    <row r="552" spans="3:13">
      <c r="C552" s="8"/>
      <c r="D552" s="8"/>
      <c r="E552" s="8"/>
      <c r="F552" s="8"/>
      <c r="H552" s="8"/>
      <c r="I552" s="8"/>
      <c r="J552" s="8"/>
      <c r="K552" s="8"/>
      <c r="L552" s="8"/>
      <c r="M552" s="8"/>
    </row>
    <row r="553" spans="3:13">
      <c r="C553" s="8"/>
      <c r="D553" s="8"/>
      <c r="E553" s="8"/>
      <c r="F553" s="8"/>
      <c r="H553" s="8"/>
      <c r="I553" s="8"/>
      <c r="J553" s="8"/>
      <c r="K553" s="8"/>
      <c r="L553" s="8"/>
      <c r="M553" s="8"/>
    </row>
    <row r="554" spans="3:13">
      <c r="C554" s="8"/>
      <c r="D554" s="8"/>
      <c r="E554" s="8"/>
      <c r="F554" s="8"/>
      <c r="H554" s="8"/>
      <c r="I554" s="8"/>
      <c r="J554" s="8"/>
      <c r="K554" s="8"/>
      <c r="L554" s="8"/>
      <c r="M554" s="8"/>
    </row>
    <row r="555" spans="3:13">
      <c r="C555" s="8"/>
      <c r="D555" s="8"/>
      <c r="E555" s="8"/>
      <c r="F555" s="8"/>
      <c r="H555" s="8"/>
      <c r="I555" s="8"/>
      <c r="J555" s="8"/>
      <c r="K555" s="8"/>
      <c r="L555" s="8"/>
      <c r="M555" s="8"/>
    </row>
    <row r="556" spans="3:13">
      <c r="C556" s="8"/>
      <c r="D556" s="8"/>
      <c r="E556" s="8"/>
      <c r="F556" s="8"/>
      <c r="H556" s="8"/>
      <c r="I556" s="8"/>
      <c r="J556" s="8"/>
      <c r="K556" s="8"/>
      <c r="L556" s="8"/>
      <c r="M556" s="8"/>
    </row>
    <row r="557" spans="3:13">
      <c r="C557" s="8"/>
      <c r="D557" s="8"/>
      <c r="E557" s="8"/>
      <c r="F557" s="8"/>
      <c r="H557" s="8"/>
      <c r="I557" s="8"/>
      <c r="J557" s="8"/>
      <c r="K557" s="8"/>
      <c r="L557" s="8"/>
      <c r="M557" s="8"/>
    </row>
    <row r="558" spans="3:13">
      <c r="C558" s="8"/>
      <c r="D558" s="8"/>
      <c r="E558" s="8"/>
      <c r="F558" s="8"/>
      <c r="H558" s="8"/>
      <c r="I558" s="8"/>
      <c r="J558" s="8"/>
      <c r="K558" s="8"/>
      <c r="L558" s="8"/>
      <c r="M558" s="8"/>
    </row>
    <row r="559" spans="3:13">
      <c r="C559" s="8"/>
      <c r="D559" s="8"/>
      <c r="E559" s="8"/>
      <c r="F559" s="8"/>
      <c r="H559" s="8"/>
      <c r="I559" s="8"/>
      <c r="J559" s="8"/>
      <c r="K559" s="8"/>
      <c r="L559" s="8"/>
      <c r="M559" s="8"/>
    </row>
    <row r="560" spans="3:13">
      <c r="C560" s="8"/>
      <c r="D560" s="8"/>
      <c r="E560" s="8"/>
      <c r="F560" s="8"/>
      <c r="H560" s="8"/>
      <c r="I560" s="8"/>
      <c r="J560" s="8"/>
      <c r="K560" s="8"/>
      <c r="L560" s="8"/>
      <c r="M560" s="8"/>
    </row>
    <row r="561" spans="3:13">
      <c r="C561" s="8"/>
      <c r="D561" s="8"/>
      <c r="E561" s="8"/>
      <c r="F561" s="8"/>
      <c r="H561" s="8"/>
      <c r="I561" s="8"/>
      <c r="J561" s="8"/>
      <c r="K561" s="8"/>
      <c r="L561" s="8"/>
      <c r="M561" s="8"/>
    </row>
    <row r="562" spans="3:13">
      <c r="C562" s="8"/>
      <c r="D562" s="8"/>
      <c r="E562" s="8"/>
      <c r="F562" s="8"/>
      <c r="H562" s="8"/>
      <c r="I562" s="8"/>
      <c r="J562" s="8"/>
      <c r="K562" s="8"/>
      <c r="L562" s="8"/>
      <c r="M562" s="8"/>
    </row>
    <row r="563" spans="3:13">
      <c r="C563" s="8"/>
      <c r="D563" s="8"/>
      <c r="E563" s="8"/>
      <c r="F563" s="8"/>
      <c r="H563" s="8"/>
      <c r="I563" s="8"/>
      <c r="J563" s="8"/>
      <c r="K563" s="8"/>
      <c r="L563" s="8"/>
      <c r="M563" s="8"/>
    </row>
    <row r="564" spans="3:13">
      <c r="C564" s="8"/>
      <c r="D564" s="8"/>
      <c r="E564" s="8"/>
      <c r="F564" s="8"/>
      <c r="H564" s="8"/>
      <c r="I564" s="8"/>
      <c r="J564" s="8"/>
      <c r="K564" s="8"/>
      <c r="L564" s="8"/>
      <c r="M564" s="8"/>
    </row>
    <row r="565" spans="3:13">
      <c r="C565" s="8"/>
      <c r="D565" s="8"/>
      <c r="E565" s="8"/>
      <c r="F565" s="8"/>
      <c r="H565" s="8"/>
      <c r="I565" s="8"/>
      <c r="J565" s="8"/>
      <c r="K565" s="8"/>
      <c r="L565" s="8"/>
      <c r="M565" s="8"/>
    </row>
    <row r="566" spans="3:13">
      <c r="C566" s="8"/>
      <c r="D566" s="8"/>
      <c r="E566" s="8"/>
      <c r="F566" s="8"/>
      <c r="H566" s="8"/>
      <c r="I566" s="8"/>
      <c r="J566" s="8"/>
      <c r="K566" s="8"/>
      <c r="L566" s="8"/>
      <c r="M566" s="8"/>
    </row>
    <row r="567" spans="3:13">
      <c r="C567" s="8"/>
      <c r="D567" s="8"/>
      <c r="E567" s="8"/>
      <c r="F567" s="8"/>
      <c r="H567" s="8"/>
      <c r="I567" s="8"/>
      <c r="J567" s="8"/>
      <c r="K567" s="8"/>
      <c r="L567" s="8"/>
      <c r="M567" s="8"/>
    </row>
    <row r="568" spans="3:13">
      <c r="C568" s="8"/>
      <c r="D568" s="8"/>
      <c r="E568" s="8"/>
      <c r="F568" s="8"/>
      <c r="H568" s="8"/>
      <c r="I568" s="8"/>
      <c r="J568" s="8"/>
      <c r="K568" s="8"/>
      <c r="L568" s="8"/>
      <c r="M568" s="8"/>
    </row>
    <row r="569" spans="3:13">
      <c r="C569" s="8"/>
      <c r="D569" s="8"/>
      <c r="E569" s="8"/>
      <c r="F569" s="8"/>
      <c r="H569" s="8"/>
      <c r="I569" s="8"/>
      <c r="J569" s="8"/>
      <c r="K569" s="8"/>
      <c r="L569" s="8"/>
      <c r="M569" s="8"/>
    </row>
    <row r="570" spans="3:13">
      <c r="C570" s="8"/>
      <c r="D570" s="8"/>
      <c r="E570" s="8"/>
      <c r="F570" s="8"/>
      <c r="H570" s="8"/>
      <c r="I570" s="8"/>
      <c r="J570" s="8"/>
      <c r="K570" s="8"/>
      <c r="L570" s="8"/>
      <c r="M570" s="8"/>
    </row>
    <row r="571" spans="3:13">
      <c r="C571" s="8"/>
      <c r="D571" s="8"/>
      <c r="E571" s="8"/>
      <c r="F571" s="8"/>
      <c r="H571" s="8"/>
      <c r="I571" s="8"/>
      <c r="J571" s="8"/>
      <c r="K571" s="8"/>
      <c r="L571" s="8"/>
      <c r="M571" s="8"/>
    </row>
    <row r="572" spans="3:13">
      <c r="C572" s="8"/>
      <c r="D572" s="8"/>
      <c r="E572" s="8"/>
      <c r="F572" s="8"/>
      <c r="H572" s="8"/>
      <c r="I572" s="8"/>
      <c r="J572" s="8"/>
      <c r="K572" s="8"/>
      <c r="L572" s="8"/>
      <c r="M572" s="8"/>
    </row>
    <row r="573" spans="3:13">
      <c r="C573" s="8"/>
      <c r="D573" s="8"/>
      <c r="E573" s="8"/>
      <c r="F573" s="8"/>
      <c r="H573" s="8"/>
      <c r="I573" s="8"/>
      <c r="J573" s="8"/>
      <c r="K573" s="8"/>
      <c r="L573" s="8"/>
      <c r="M573" s="8"/>
    </row>
    <row r="574" spans="3:13">
      <c r="C574" s="8"/>
      <c r="D574" s="8"/>
      <c r="E574" s="8"/>
      <c r="F574" s="8"/>
      <c r="H574" s="8"/>
      <c r="I574" s="8"/>
      <c r="J574" s="8"/>
      <c r="K574" s="8"/>
      <c r="L574" s="8"/>
      <c r="M574" s="8"/>
    </row>
    <row r="575" spans="3:13">
      <c r="C575" s="8"/>
      <c r="D575" s="8"/>
      <c r="E575" s="8"/>
      <c r="F575" s="8"/>
      <c r="H575" s="8"/>
      <c r="I575" s="8"/>
      <c r="J575" s="8"/>
      <c r="K575" s="8"/>
      <c r="L575" s="8"/>
      <c r="M575" s="8"/>
    </row>
    <row r="576" spans="3:13">
      <c r="C576" s="8"/>
      <c r="D576" s="8"/>
      <c r="E576" s="8"/>
      <c r="F576" s="8"/>
      <c r="H576" s="8"/>
      <c r="I576" s="8"/>
      <c r="J576" s="8"/>
      <c r="K576" s="8"/>
      <c r="L576" s="8"/>
      <c r="M576" s="8"/>
    </row>
    <row r="577" spans="3:13">
      <c r="C577" s="8"/>
      <c r="D577" s="8"/>
      <c r="E577" s="8"/>
      <c r="F577" s="8"/>
      <c r="H577" s="8"/>
      <c r="I577" s="8"/>
      <c r="J577" s="8"/>
      <c r="K577" s="8"/>
      <c r="L577" s="8"/>
      <c r="M577" s="8"/>
    </row>
    <row r="578" spans="3:13">
      <c r="C578" s="8"/>
      <c r="D578" s="8"/>
      <c r="E578" s="8"/>
      <c r="F578" s="8"/>
      <c r="H578" s="8"/>
      <c r="I578" s="8"/>
      <c r="J578" s="8"/>
      <c r="K578" s="8"/>
      <c r="L578" s="8"/>
      <c r="M578" s="8"/>
    </row>
    <row r="579" spans="3:13">
      <c r="C579" s="8"/>
      <c r="D579" s="8"/>
      <c r="E579" s="8"/>
      <c r="F579" s="8"/>
      <c r="H579" s="8"/>
      <c r="I579" s="8"/>
      <c r="J579" s="8"/>
      <c r="K579" s="8"/>
      <c r="L579" s="8"/>
      <c r="M579" s="8"/>
    </row>
    <row r="580" spans="3:13">
      <c r="C580" s="8"/>
      <c r="D580" s="8"/>
      <c r="E580" s="8"/>
      <c r="F580" s="8"/>
      <c r="H580" s="8"/>
      <c r="I580" s="8"/>
      <c r="J580" s="8"/>
      <c r="K580" s="8"/>
      <c r="L580" s="8"/>
      <c r="M580" s="8"/>
    </row>
    <row r="581" spans="3:13">
      <c r="C581" s="8"/>
      <c r="D581" s="8"/>
      <c r="E581" s="8"/>
      <c r="F581" s="8"/>
      <c r="H581" s="8"/>
      <c r="I581" s="8"/>
      <c r="J581" s="8"/>
      <c r="K581" s="8"/>
      <c r="L581" s="8"/>
      <c r="M581" s="8"/>
    </row>
    <row r="582" spans="3:13">
      <c r="C582" s="8"/>
      <c r="D582" s="8"/>
      <c r="E582" s="8"/>
      <c r="F582" s="8"/>
      <c r="H582" s="8"/>
      <c r="I582" s="8"/>
      <c r="J582" s="8"/>
      <c r="K582" s="8"/>
      <c r="L582" s="8"/>
      <c r="M582" s="8"/>
    </row>
    <row r="583" spans="3:13">
      <c r="C583" s="8"/>
      <c r="D583" s="8"/>
      <c r="E583" s="8"/>
      <c r="F583" s="8"/>
      <c r="H583" s="8"/>
      <c r="I583" s="8"/>
      <c r="J583" s="8"/>
      <c r="K583" s="8"/>
      <c r="L583" s="8"/>
      <c r="M583" s="8"/>
    </row>
    <row r="584" spans="3:13">
      <c r="C584" s="8"/>
      <c r="D584" s="8"/>
      <c r="E584" s="8"/>
      <c r="F584" s="8"/>
      <c r="H584" s="8"/>
      <c r="I584" s="8"/>
      <c r="J584" s="8"/>
      <c r="K584" s="8"/>
      <c r="L584" s="8"/>
      <c r="M584" s="8"/>
    </row>
    <row r="585" spans="3:13">
      <c r="C585" s="8"/>
      <c r="D585" s="8"/>
      <c r="E585" s="8"/>
      <c r="F585" s="8"/>
      <c r="H585" s="8"/>
      <c r="I585" s="8"/>
      <c r="J585" s="8"/>
      <c r="K585" s="8"/>
      <c r="L585" s="8"/>
      <c r="M585" s="8"/>
    </row>
    <row r="586" spans="3:13">
      <c r="C586" s="8"/>
      <c r="D586" s="8"/>
      <c r="E586" s="8"/>
      <c r="F586" s="8"/>
      <c r="H586" s="8"/>
      <c r="I586" s="8"/>
      <c r="J586" s="8"/>
      <c r="K586" s="8"/>
      <c r="L586" s="8"/>
      <c r="M586" s="8"/>
    </row>
    <row r="587" spans="3:13">
      <c r="C587" s="8"/>
      <c r="D587" s="8"/>
      <c r="E587" s="8"/>
      <c r="F587" s="8"/>
      <c r="H587" s="8"/>
      <c r="I587" s="8"/>
      <c r="J587" s="8"/>
      <c r="K587" s="8"/>
      <c r="L587" s="8"/>
      <c r="M587" s="8"/>
    </row>
    <row r="588" spans="3:13">
      <c r="C588" s="8"/>
      <c r="D588" s="8"/>
      <c r="E588" s="8"/>
      <c r="F588" s="8"/>
      <c r="H588" s="8"/>
      <c r="I588" s="8"/>
      <c r="J588" s="8"/>
      <c r="K588" s="8"/>
      <c r="L588" s="8"/>
      <c r="M588" s="8"/>
    </row>
    <row r="589" spans="3:13">
      <c r="C589" s="8"/>
      <c r="D589" s="8"/>
      <c r="E589" s="8"/>
      <c r="F589" s="8"/>
      <c r="H589" s="8"/>
      <c r="I589" s="8"/>
      <c r="J589" s="8"/>
      <c r="K589" s="8"/>
      <c r="L589" s="8"/>
      <c r="M589" s="8"/>
    </row>
    <row r="590" spans="3:13">
      <c r="C590" s="8"/>
      <c r="D590" s="8"/>
      <c r="E590" s="8"/>
      <c r="F590" s="8"/>
      <c r="H590" s="8"/>
      <c r="I590" s="8"/>
      <c r="J590" s="8"/>
      <c r="K590" s="8"/>
      <c r="L590" s="8"/>
      <c r="M590" s="8"/>
    </row>
    <row r="591" spans="3:13">
      <c r="C591" s="8"/>
      <c r="D591" s="8"/>
      <c r="E591" s="8"/>
      <c r="F591" s="8"/>
      <c r="H591" s="8"/>
      <c r="I591" s="8"/>
      <c r="J591" s="8"/>
      <c r="K591" s="8"/>
      <c r="L591" s="8"/>
      <c r="M591" s="8"/>
    </row>
    <row r="592" spans="3:13">
      <c r="C592" s="8"/>
      <c r="D592" s="8"/>
      <c r="E592" s="8"/>
      <c r="F592" s="8"/>
      <c r="H592" s="8"/>
      <c r="I592" s="8"/>
      <c r="J592" s="8"/>
      <c r="K592" s="8"/>
      <c r="L592" s="8"/>
      <c r="M592" s="8"/>
    </row>
    <row r="593" spans="3:13">
      <c r="C593" s="8"/>
      <c r="D593" s="8"/>
      <c r="E593" s="8"/>
      <c r="F593" s="8"/>
      <c r="H593" s="8"/>
      <c r="I593" s="8"/>
      <c r="J593" s="8"/>
      <c r="K593" s="8"/>
      <c r="L593" s="8"/>
      <c r="M593" s="8"/>
    </row>
    <row r="594" spans="3:13">
      <c r="C594" s="8"/>
      <c r="D594" s="8"/>
      <c r="E594" s="8"/>
      <c r="F594" s="8"/>
      <c r="H594" s="8"/>
      <c r="I594" s="8"/>
      <c r="J594" s="8"/>
      <c r="K594" s="8"/>
      <c r="L594" s="8"/>
      <c r="M594" s="8"/>
    </row>
    <row r="595" spans="3:13">
      <c r="C595" s="8"/>
      <c r="D595" s="8"/>
      <c r="E595" s="8"/>
      <c r="F595" s="8"/>
      <c r="H595" s="8"/>
      <c r="I595" s="8"/>
      <c r="J595" s="8"/>
      <c r="K595" s="8"/>
      <c r="L595" s="8"/>
      <c r="M595" s="8"/>
    </row>
    <row r="596" spans="3:13">
      <c r="C596" s="8"/>
      <c r="D596" s="8"/>
      <c r="E596" s="8"/>
      <c r="F596" s="8"/>
      <c r="H596" s="8"/>
      <c r="I596" s="8"/>
      <c r="J596" s="8"/>
      <c r="K596" s="8"/>
      <c r="L596" s="8"/>
      <c r="M596" s="8"/>
    </row>
    <row r="597" spans="3:13">
      <c r="C597" s="8"/>
      <c r="D597" s="8"/>
      <c r="E597" s="8"/>
      <c r="F597" s="8"/>
      <c r="H597" s="8"/>
      <c r="I597" s="8"/>
      <c r="J597" s="8"/>
      <c r="K597" s="8"/>
      <c r="L597" s="8"/>
      <c r="M597" s="8"/>
    </row>
    <row r="598" spans="3:13">
      <c r="C598" s="8"/>
      <c r="D598" s="8"/>
      <c r="E598" s="8"/>
      <c r="F598" s="8"/>
      <c r="H598" s="8"/>
      <c r="I598" s="8"/>
      <c r="J598" s="8"/>
      <c r="K598" s="8"/>
      <c r="L598" s="8"/>
      <c r="M598" s="8"/>
    </row>
    <row r="599" spans="3:13">
      <c r="C599" s="8"/>
      <c r="D599" s="8"/>
      <c r="E599" s="8"/>
      <c r="F599" s="8"/>
      <c r="H599" s="8"/>
      <c r="I599" s="8"/>
      <c r="J599" s="8"/>
      <c r="K599" s="8"/>
      <c r="L599" s="8"/>
      <c r="M599" s="8"/>
    </row>
    <row r="600" spans="3:13">
      <c r="C600" s="8"/>
      <c r="D600" s="8"/>
      <c r="E600" s="8"/>
      <c r="F600" s="8"/>
      <c r="H600" s="8"/>
      <c r="I600" s="8"/>
      <c r="J600" s="8"/>
      <c r="K600" s="8"/>
      <c r="L600" s="8"/>
      <c r="M600" s="8"/>
    </row>
    <row r="601" spans="3:13">
      <c r="C601" s="8"/>
      <c r="D601" s="8"/>
      <c r="E601" s="8"/>
      <c r="F601" s="8"/>
      <c r="H601" s="8"/>
      <c r="I601" s="8"/>
      <c r="J601" s="8"/>
      <c r="K601" s="8"/>
      <c r="L601" s="8"/>
      <c r="M601" s="8"/>
    </row>
    <row r="602" spans="3:13">
      <c r="C602" s="8"/>
      <c r="D602" s="8"/>
      <c r="E602" s="8"/>
      <c r="F602" s="8"/>
      <c r="H602" s="8"/>
      <c r="I602" s="8"/>
      <c r="J602" s="8"/>
      <c r="K602" s="8"/>
      <c r="L602" s="8"/>
      <c r="M602" s="8"/>
    </row>
    <row r="603" spans="3:13">
      <c r="C603" s="8"/>
      <c r="D603" s="8"/>
      <c r="E603" s="8"/>
      <c r="F603" s="8"/>
      <c r="H603" s="8"/>
      <c r="I603" s="8"/>
      <c r="J603" s="8"/>
      <c r="K603" s="8"/>
      <c r="L603" s="8"/>
      <c r="M603" s="8"/>
    </row>
    <row r="604" spans="3:13">
      <c r="C604" s="8"/>
      <c r="D604" s="8"/>
      <c r="E604" s="8"/>
      <c r="F604" s="8"/>
      <c r="H604" s="8"/>
      <c r="I604" s="8"/>
      <c r="J604" s="8"/>
      <c r="K604" s="8"/>
      <c r="L604" s="8"/>
      <c r="M604" s="8"/>
    </row>
    <row r="605" spans="3:13">
      <c r="C605" s="8"/>
      <c r="D605" s="8"/>
      <c r="E605" s="8"/>
      <c r="F605" s="8"/>
      <c r="H605" s="8"/>
      <c r="I605" s="8"/>
      <c r="J605" s="8"/>
      <c r="K605" s="8"/>
      <c r="L605" s="8"/>
      <c r="M605" s="8"/>
    </row>
    <row r="606" spans="3:13">
      <c r="C606" s="8"/>
      <c r="D606" s="8"/>
      <c r="E606" s="8"/>
      <c r="F606" s="8"/>
      <c r="H606" s="8"/>
      <c r="I606" s="8"/>
      <c r="J606" s="8"/>
      <c r="K606" s="8"/>
      <c r="L606" s="8"/>
      <c r="M606" s="8"/>
    </row>
    <row r="607" spans="3:13">
      <c r="C607" s="8"/>
      <c r="D607" s="8"/>
      <c r="E607" s="8"/>
      <c r="F607" s="8"/>
      <c r="H607" s="8"/>
      <c r="I607" s="8"/>
      <c r="J607" s="8"/>
      <c r="K607" s="8"/>
      <c r="L607" s="8"/>
      <c r="M607" s="8"/>
    </row>
    <row r="608" spans="3:13">
      <c r="C608" s="8"/>
      <c r="D608" s="8"/>
      <c r="E608" s="8"/>
      <c r="F608" s="8"/>
      <c r="H608" s="8"/>
      <c r="I608" s="8"/>
      <c r="J608" s="8"/>
      <c r="K608" s="8"/>
      <c r="L608" s="8"/>
      <c r="M608" s="8"/>
    </row>
    <row r="609" spans="3:13">
      <c r="C609" s="8"/>
      <c r="D609" s="8"/>
      <c r="E609" s="8"/>
      <c r="F609" s="8"/>
      <c r="H609" s="8"/>
      <c r="I609" s="8"/>
      <c r="J609" s="8"/>
      <c r="K609" s="8"/>
      <c r="L609" s="8"/>
      <c r="M609" s="8"/>
    </row>
    <row r="610" spans="3:13">
      <c r="C610" s="8"/>
      <c r="D610" s="8"/>
      <c r="E610" s="8"/>
      <c r="F610" s="8"/>
      <c r="H610" s="8"/>
      <c r="I610" s="8"/>
      <c r="J610" s="8"/>
      <c r="K610" s="8"/>
      <c r="L610" s="8"/>
      <c r="M610" s="8"/>
    </row>
    <row r="611" spans="3:13">
      <c r="C611" s="8"/>
      <c r="D611" s="8"/>
      <c r="E611" s="8"/>
      <c r="F611" s="8"/>
      <c r="H611" s="8"/>
      <c r="I611" s="8"/>
      <c r="J611" s="8"/>
      <c r="K611" s="8"/>
      <c r="L611" s="8"/>
      <c r="M611" s="8"/>
    </row>
    <row r="612" spans="3:13">
      <c r="C612" s="8"/>
      <c r="D612" s="8"/>
      <c r="E612" s="8"/>
      <c r="F612" s="8"/>
      <c r="H612" s="8"/>
      <c r="I612" s="8"/>
      <c r="J612" s="8"/>
      <c r="K612" s="8"/>
      <c r="L612" s="8"/>
      <c r="M612" s="8"/>
    </row>
    <row r="613" spans="3:13">
      <c r="C613" s="8"/>
      <c r="D613" s="8"/>
      <c r="E613" s="8"/>
      <c r="F613" s="8"/>
      <c r="H613" s="8"/>
      <c r="I613" s="8"/>
      <c r="J613" s="8"/>
      <c r="K613" s="8"/>
      <c r="L613" s="8"/>
      <c r="M613" s="8"/>
    </row>
    <row r="614" spans="3:13">
      <c r="C614" s="8"/>
      <c r="D614" s="8"/>
      <c r="E614" s="8"/>
      <c r="F614" s="8"/>
      <c r="H614" s="8"/>
      <c r="I614" s="8"/>
      <c r="J614" s="8"/>
      <c r="K614" s="8"/>
      <c r="L614" s="8"/>
      <c r="M614" s="8"/>
    </row>
    <row r="615" spans="3:13">
      <c r="C615" s="8"/>
      <c r="D615" s="8"/>
      <c r="E615" s="8"/>
      <c r="F615" s="8"/>
      <c r="H615" s="8"/>
      <c r="I615" s="8"/>
      <c r="J615" s="8"/>
      <c r="K615" s="8"/>
      <c r="L615" s="8"/>
      <c r="M615" s="8"/>
    </row>
    <row r="616" spans="3:13">
      <c r="C616" s="8"/>
      <c r="D616" s="8"/>
      <c r="E616" s="8"/>
      <c r="F616" s="8"/>
      <c r="H616" s="8"/>
      <c r="I616" s="8"/>
      <c r="J616" s="8"/>
      <c r="K616" s="8"/>
      <c r="L616" s="8"/>
      <c r="M616" s="8"/>
    </row>
    <row r="617" spans="3:13">
      <c r="C617" s="8"/>
      <c r="D617" s="8"/>
      <c r="E617" s="8"/>
      <c r="F617" s="8"/>
      <c r="H617" s="8"/>
      <c r="I617" s="8"/>
      <c r="J617" s="8"/>
      <c r="K617" s="8"/>
      <c r="L617" s="8"/>
      <c r="M617" s="8"/>
    </row>
    <row r="618" spans="3:13">
      <c r="C618" s="8"/>
      <c r="D618" s="8"/>
      <c r="E618" s="8"/>
      <c r="F618" s="8"/>
      <c r="H618" s="8"/>
      <c r="I618" s="8"/>
      <c r="J618" s="8"/>
      <c r="K618" s="8"/>
      <c r="L618" s="8"/>
      <c r="M618" s="8"/>
    </row>
    <row r="619" spans="3:13">
      <c r="C619" s="8"/>
      <c r="D619" s="8"/>
      <c r="E619" s="8"/>
      <c r="F619" s="8"/>
      <c r="H619" s="8"/>
      <c r="I619" s="8"/>
      <c r="J619" s="8"/>
      <c r="K619" s="8"/>
      <c r="L619" s="8"/>
      <c r="M619" s="8"/>
    </row>
    <row r="620" spans="3:13">
      <c r="C620" s="8"/>
      <c r="D620" s="8"/>
      <c r="E620" s="8"/>
      <c r="F620" s="8"/>
      <c r="H620" s="8"/>
      <c r="I620" s="8"/>
      <c r="J620" s="8"/>
      <c r="K620" s="8"/>
      <c r="L620" s="8"/>
      <c r="M620" s="8"/>
    </row>
    <row r="621" spans="3:13">
      <c r="C621" s="8"/>
      <c r="D621" s="8"/>
      <c r="E621" s="8"/>
      <c r="F621" s="8"/>
      <c r="H621" s="8"/>
      <c r="I621" s="8"/>
      <c r="J621" s="8"/>
      <c r="K621" s="8"/>
      <c r="L621" s="8"/>
      <c r="M621" s="8"/>
    </row>
    <row r="622" spans="3:13">
      <c r="C622" s="8"/>
      <c r="D622" s="8"/>
      <c r="E622" s="8"/>
      <c r="F622" s="8"/>
      <c r="H622" s="8"/>
      <c r="I622" s="8"/>
      <c r="J622" s="8"/>
      <c r="K622" s="8"/>
      <c r="L622" s="8"/>
      <c r="M622" s="8"/>
    </row>
    <row r="623" spans="3:13">
      <c r="C623" s="8"/>
      <c r="D623" s="8"/>
      <c r="E623" s="8"/>
      <c r="F623" s="8"/>
      <c r="H623" s="8"/>
      <c r="I623" s="8"/>
      <c r="J623" s="8"/>
      <c r="K623" s="8"/>
      <c r="L623" s="8"/>
      <c r="M623" s="8"/>
    </row>
    <row r="624" spans="3:13">
      <c r="C624" s="8"/>
      <c r="D624" s="8"/>
      <c r="E624" s="8"/>
      <c r="F624" s="8"/>
      <c r="H624" s="8"/>
      <c r="I624" s="8"/>
      <c r="J624" s="8"/>
      <c r="K624" s="8"/>
      <c r="L624" s="8"/>
      <c r="M624" s="8"/>
    </row>
    <row r="625" spans="3:13">
      <c r="C625" s="8"/>
      <c r="D625" s="8"/>
      <c r="E625" s="8"/>
      <c r="F625" s="8"/>
      <c r="H625" s="8"/>
      <c r="I625" s="8"/>
      <c r="J625" s="8"/>
      <c r="K625" s="8"/>
      <c r="L625" s="8"/>
      <c r="M625" s="8"/>
    </row>
    <row r="626" spans="3:13">
      <c r="C626" s="8"/>
      <c r="D626" s="8"/>
      <c r="E626" s="8"/>
      <c r="F626" s="8"/>
      <c r="H626" s="8"/>
      <c r="I626" s="8"/>
      <c r="J626" s="8"/>
      <c r="K626" s="8"/>
      <c r="L626" s="8"/>
      <c r="M626" s="8"/>
    </row>
    <row r="627" spans="3:13">
      <c r="C627" s="8"/>
      <c r="D627" s="8"/>
      <c r="E627" s="8"/>
      <c r="F627" s="8"/>
      <c r="H627" s="8"/>
      <c r="I627" s="8"/>
      <c r="J627" s="8"/>
      <c r="K627" s="8"/>
      <c r="L627" s="8"/>
      <c r="M627" s="8"/>
    </row>
    <row r="628" spans="3:13">
      <c r="C628" s="8"/>
      <c r="D628" s="8"/>
      <c r="E628" s="8"/>
      <c r="F628" s="8"/>
      <c r="H628" s="8"/>
      <c r="I628" s="8"/>
      <c r="J628" s="8"/>
      <c r="K628" s="8"/>
      <c r="L628" s="8"/>
      <c r="M628" s="8"/>
    </row>
    <row r="629" spans="3:13">
      <c r="C629" s="8"/>
      <c r="D629" s="8"/>
      <c r="E629" s="8"/>
      <c r="F629" s="8"/>
      <c r="H629" s="8"/>
      <c r="I629" s="8"/>
      <c r="J629" s="8"/>
      <c r="K629" s="8"/>
      <c r="L629" s="8"/>
      <c r="M629" s="8"/>
    </row>
    <row r="630" spans="3:13">
      <c r="C630" s="8"/>
      <c r="D630" s="8"/>
      <c r="E630" s="8"/>
      <c r="F630" s="8"/>
      <c r="H630" s="8"/>
      <c r="I630" s="8"/>
      <c r="J630" s="8"/>
      <c r="K630" s="8"/>
      <c r="L630" s="8"/>
      <c r="M630" s="8"/>
    </row>
    <row r="631" spans="3:13">
      <c r="C631" s="8"/>
      <c r="D631" s="8"/>
      <c r="E631" s="8"/>
      <c r="F631" s="8"/>
      <c r="H631" s="8"/>
      <c r="I631" s="8"/>
      <c r="J631" s="8"/>
      <c r="K631" s="8"/>
      <c r="L631" s="8"/>
      <c r="M631" s="8"/>
    </row>
    <row r="632" spans="3:13">
      <c r="C632" s="8"/>
      <c r="D632" s="8"/>
      <c r="E632" s="8"/>
      <c r="F632" s="8"/>
      <c r="H632" s="8"/>
      <c r="I632" s="8"/>
      <c r="J632" s="8"/>
      <c r="K632" s="8"/>
      <c r="L632" s="8"/>
      <c r="M632" s="8"/>
    </row>
    <row r="633" spans="3:13">
      <c r="C633" s="8"/>
      <c r="D633" s="8"/>
      <c r="E633" s="8"/>
      <c r="F633" s="8"/>
      <c r="H633" s="8"/>
      <c r="I633" s="8"/>
      <c r="J633" s="8"/>
      <c r="K633" s="8"/>
      <c r="L633" s="8"/>
      <c r="M633" s="8"/>
    </row>
    <row r="634" spans="3:13">
      <c r="C634" s="8"/>
      <c r="D634" s="8"/>
      <c r="E634" s="8"/>
      <c r="F634" s="8"/>
      <c r="H634" s="8"/>
      <c r="I634" s="8"/>
      <c r="J634" s="8"/>
      <c r="K634" s="8"/>
      <c r="L634" s="8"/>
      <c r="M634" s="8"/>
    </row>
    <row r="635" spans="3:13">
      <c r="C635" s="8"/>
      <c r="D635" s="8"/>
      <c r="E635" s="8"/>
      <c r="F635" s="8"/>
      <c r="H635" s="8"/>
      <c r="I635" s="8"/>
      <c r="J635" s="8"/>
      <c r="K635" s="8"/>
      <c r="L635" s="8"/>
      <c r="M635" s="8"/>
    </row>
    <row r="636" spans="3:13">
      <c r="C636" s="8"/>
      <c r="D636" s="8"/>
      <c r="E636" s="8"/>
      <c r="F636" s="8"/>
      <c r="H636" s="8"/>
      <c r="I636" s="8"/>
      <c r="J636" s="8"/>
      <c r="K636" s="8"/>
      <c r="L636" s="8"/>
      <c r="M636" s="8"/>
    </row>
    <row r="637" spans="3:13">
      <c r="C637" s="8"/>
      <c r="D637" s="8"/>
      <c r="E637" s="8"/>
      <c r="F637" s="8"/>
      <c r="H637" s="8"/>
      <c r="I637" s="8"/>
      <c r="J637" s="8"/>
      <c r="K637" s="8"/>
      <c r="L637" s="8"/>
      <c r="M637" s="8"/>
    </row>
    <row r="638" spans="3:13">
      <c r="C638" s="8"/>
      <c r="D638" s="8"/>
      <c r="E638" s="8"/>
      <c r="F638" s="8"/>
      <c r="H638" s="8"/>
      <c r="I638" s="8"/>
      <c r="J638" s="8"/>
      <c r="K638" s="8"/>
      <c r="L638" s="8"/>
      <c r="M638" s="8"/>
    </row>
    <row r="639" spans="3:13">
      <c r="C639" s="8"/>
      <c r="D639" s="8"/>
      <c r="E639" s="8"/>
      <c r="F639" s="8"/>
      <c r="H639" s="8"/>
      <c r="I639" s="8"/>
      <c r="J639" s="8"/>
      <c r="K639" s="8"/>
      <c r="L639" s="8"/>
      <c r="M639" s="8"/>
    </row>
    <row r="640" spans="3:13">
      <c r="C640" s="8"/>
      <c r="D640" s="8"/>
      <c r="E640" s="8"/>
      <c r="F640" s="8"/>
      <c r="H640" s="8"/>
      <c r="I640" s="8"/>
      <c r="J640" s="8"/>
      <c r="K640" s="8"/>
      <c r="L640" s="8"/>
      <c r="M640" s="8"/>
    </row>
    <row r="641" spans="3:13">
      <c r="C641" s="8"/>
      <c r="D641" s="8"/>
      <c r="E641" s="8"/>
      <c r="F641" s="8"/>
      <c r="H641" s="8"/>
      <c r="I641" s="8"/>
      <c r="J641" s="8"/>
      <c r="K641" s="8"/>
      <c r="L641" s="8"/>
      <c r="M641" s="8"/>
    </row>
    <row r="642" spans="3:13">
      <c r="C642" s="8"/>
      <c r="D642" s="8"/>
      <c r="E642" s="8"/>
      <c r="F642" s="8"/>
      <c r="H642" s="8"/>
      <c r="I642" s="8"/>
      <c r="J642" s="8"/>
      <c r="K642" s="8"/>
      <c r="L642" s="8"/>
      <c r="M642" s="8"/>
    </row>
    <row r="643" spans="3:13">
      <c r="C643" s="8"/>
      <c r="D643" s="8"/>
      <c r="E643" s="8"/>
      <c r="F643" s="8"/>
      <c r="H643" s="8"/>
      <c r="I643" s="8"/>
      <c r="J643" s="8"/>
      <c r="K643" s="8"/>
      <c r="L643" s="8"/>
      <c r="M643" s="8"/>
    </row>
    <row r="644" spans="3:13">
      <c r="C644" s="8"/>
      <c r="D644" s="8"/>
      <c r="E644" s="8"/>
      <c r="F644" s="8"/>
      <c r="H644" s="8"/>
      <c r="I644" s="8"/>
      <c r="J644" s="8"/>
      <c r="K644" s="8"/>
      <c r="L644" s="8"/>
      <c r="M644" s="8"/>
    </row>
    <row r="645" spans="3:13">
      <c r="C645" s="8"/>
      <c r="D645" s="8"/>
      <c r="E645" s="8"/>
      <c r="F645" s="8"/>
      <c r="H645" s="8"/>
      <c r="I645" s="8"/>
      <c r="J645" s="8"/>
      <c r="K645" s="8"/>
      <c r="L645" s="8"/>
      <c r="M645" s="8"/>
    </row>
    <row r="646" spans="3:13">
      <c r="C646" s="8"/>
      <c r="D646" s="8"/>
      <c r="E646" s="8"/>
      <c r="F646" s="8"/>
      <c r="H646" s="8"/>
      <c r="I646" s="8"/>
      <c r="J646" s="8"/>
      <c r="K646" s="8"/>
      <c r="L646" s="8"/>
      <c r="M646" s="8"/>
    </row>
    <row r="647" spans="3:13">
      <c r="C647" s="8"/>
      <c r="D647" s="8"/>
      <c r="E647" s="8"/>
      <c r="F647" s="8"/>
      <c r="H647" s="8"/>
      <c r="I647" s="8"/>
      <c r="J647" s="8"/>
      <c r="K647" s="8"/>
      <c r="L647" s="8"/>
      <c r="M647" s="8"/>
    </row>
    <row r="648" spans="3:13">
      <c r="C648" s="8"/>
      <c r="D648" s="8"/>
      <c r="E648" s="8"/>
      <c r="F648" s="8"/>
      <c r="H648" s="8"/>
      <c r="I648" s="8"/>
      <c r="J648" s="8"/>
      <c r="K648" s="8"/>
      <c r="L648" s="8"/>
      <c r="M648" s="8"/>
    </row>
    <row r="649" spans="3:13">
      <c r="C649" s="8"/>
      <c r="D649" s="8"/>
      <c r="E649" s="8"/>
      <c r="F649" s="8"/>
      <c r="H649" s="8"/>
      <c r="I649" s="8"/>
      <c r="J649" s="8"/>
      <c r="K649" s="8"/>
      <c r="L649" s="8"/>
      <c r="M649" s="8"/>
    </row>
    <row r="650" spans="3:13">
      <c r="C650" s="8"/>
      <c r="D650" s="8"/>
      <c r="E650" s="8"/>
      <c r="F650" s="8"/>
      <c r="H650" s="8"/>
      <c r="I650" s="8"/>
      <c r="J650" s="8"/>
      <c r="K650" s="8"/>
      <c r="L650" s="8"/>
      <c r="M650" s="8"/>
    </row>
    <row r="651" spans="3:13">
      <c r="C651" s="8"/>
      <c r="D651" s="8"/>
      <c r="E651" s="8"/>
      <c r="F651" s="8"/>
      <c r="H651" s="8"/>
      <c r="I651" s="8"/>
      <c r="J651" s="8"/>
      <c r="K651" s="8"/>
      <c r="L651" s="8"/>
      <c r="M651" s="8"/>
    </row>
    <row r="652" spans="3:13">
      <c r="C652" s="8"/>
      <c r="D652" s="8"/>
      <c r="E652" s="8"/>
      <c r="F652" s="8"/>
      <c r="H652" s="8"/>
      <c r="I652" s="8"/>
      <c r="J652" s="8"/>
      <c r="K652" s="8"/>
      <c r="L652" s="8"/>
      <c r="M652" s="8"/>
    </row>
    <row r="653" spans="3:13">
      <c r="C653" s="8"/>
      <c r="D653" s="8"/>
      <c r="E653" s="8"/>
      <c r="F653" s="8"/>
      <c r="H653" s="8"/>
      <c r="I653" s="8"/>
      <c r="J653" s="8"/>
      <c r="K653" s="8"/>
      <c r="L653" s="8"/>
      <c r="M653" s="8"/>
    </row>
    <row r="654" spans="3:13">
      <c r="C654" s="8"/>
      <c r="D654" s="8"/>
      <c r="E654" s="8"/>
      <c r="F654" s="8"/>
      <c r="H654" s="8"/>
      <c r="I654" s="8"/>
      <c r="J654" s="8"/>
      <c r="K654" s="8"/>
      <c r="L654" s="8"/>
      <c r="M654" s="8"/>
    </row>
    <row r="655" spans="3:13">
      <c r="C655" s="8"/>
      <c r="D655" s="8"/>
      <c r="E655" s="8"/>
      <c r="F655" s="8"/>
      <c r="H655" s="8"/>
      <c r="I655" s="8"/>
      <c r="J655" s="8"/>
      <c r="K655" s="8"/>
      <c r="L655" s="8"/>
      <c r="M655" s="8"/>
    </row>
    <row r="656" spans="3:13">
      <c r="C656" s="8"/>
      <c r="D656" s="8"/>
      <c r="E656" s="8"/>
      <c r="F656" s="8"/>
      <c r="H656" s="8"/>
      <c r="I656" s="8"/>
      <c r="J656" s="8"/>
      <c r="K656" s="8"/>
      <c r="L656" s="8"/>
      <c r="M656" s="8"/>
    </row>
    <row r="657" spans="3:13">
      <c r="C657" s="8"/>
      <c r="D657" s="8"/>
      <c r="E657" s="8"/>
      <c r="F657" s="8"/>
      <c r="H657" s="8"/>
      <c r="I657" s="8"/>
      <c r="J657" s="8"/>
      <c r="K657" s="8"/>
      <c r="L657" s="8"/>
      <c r="M657" s="8"/>
    </row>
    <row r="658" spans="3:13">
      <c r="C658" s="8"/>
      <c r="D658" s="8"/>
      <c r="E658" s="8"/>
      <c r="F658" s="8"/>
      <c r="H658" s="8"/>
      <c r="I658" s="8"/>
      <c r="J658" s="8"/>
      <c r="K658" s="8"/>
      <c r="L658" s="8"/>
      <c r="M658" s="8"/>
    </row>
    <row r="659" spans="3:13">
      <c r="C659" s="8"/>
      <c r="D659" s="8"/>
      <c r="E659" s="8"/>
      <c r="F659" s="8"/>
      <c r="H659" s="8"/>
      <c r="I659" s="8"/>
      <c r="J659" s="8"/>
      <c r="K659" s="8"/>
      <c r="L659" s="8"/>
      <c r="M659" s="8"/>
    </row>
    <row r="660" spans="3:13">
      <c r="C660" s="8"/>
      <c r="D660" s="8"/>
      <c r="E660" s="8"/>
      <c r="F660" s="8"/>
      <c r="H660" s="8"/>
      <c r="I660" s="8"/>
      <c r="J660" s="8"/>
      <c r="K660" s="8"/>
      <c r="L660" s="8"/>
      <c r="M660" s="8"/>
    </row>
    <row r="661" spans="3:13">
      <c r="C661" s="8"/>
      <c r="D661" s="8"/>
      <c r="E661" s="8"/>
      <c r="F661" s="8"/>
      <c r="H661" s="8"/>
      <c r="I661" s="8"/>
      <c r="J661" s="8"/>
      <c r="K661" s="8"/>
      <c r="L661" s="8"/>
      <c r="M661" s="8"/>
    </row>
    <row r="662" spans="3:13">
      <c r="C662" s="8"/>
      <c r="D662" s="8"/>
      <c r="E662" s="8"/>
      <c r="F662" s="8"/>
      <c r="H662" s="8"/>
      <c r="I662" s="8"/>
      <c r="J662" s="8"/>
      <c r="K662" s="8"/>
      <c r="L662" s="8"/>
      <c r="M662" s="8"/>
    </row>
    <row r="663" spans="3:13">
      <c r="C663" s="8"/>
      <c r="D663" s="8"/>
      <c r="E663" s="8"/>
      <c r="F663" s="8"/>
      <c r="H663" s="8"/>
      <c r="I663" s="8"/>
      <c r="J663" s="8"/>
      <c r="K663" s="8"/>
      <c r="L663" s="8"/>
      <c r="M663" s="8"/>
    </row>
    <row r="664" spans="3:13">
      <c r="C664" s="8"/>
      <c r="D664" s="8"/>
      <c r="E664" s="8"/>
      <c r="F664" s="8"/>
      <c r="H664" s="8"/>
      <c r="I664" s="8"/>
      <c r="J664" s="8"/>
      <c r="K664" s="8"/>
      <c r="L664" s="8"/>
      <c r="M664" s="8"/>
    </row>
    <row r="665" spans="3:13">
      <c r="C665" s="8"/>
      <c r="D665" s="8"/>
      <c r="E665" s="8"/>
      <c r="F665" s="8"/>
      <c r="H665" s="8"/>
      <c r="I665" s="8"/>
      <c r="J665" s="8"/>
      <c r="K665" s="8"/>
      <c r="L665" s="8"/>
      <c r="M665" s="8"/>
    </row>
    <row r="666" spans="3:13">
      <c r="C666" s="8"/>
      <c r="D666" s="8"/>
      <c r="E666" s="8"/>
      <c r="F666" s="8"/>
      <c r="H666" s="8"/>
      <c r="I666" s="8"/>
      <c r="J666" s="8"/>
      <c r="K666" s="8"/>
      <c r="L666" s="8"/>
      <c r="M666" s="8"/>
    </row>
    <row r="667" spans="3:13">
      <c r="C667" s="8"/>
      <c r="D667" s="8"/>
      <c r="E667" s="8"/>
      <c r="F667" s="8"/>
      <c r="H667" s="8"/>
      <c r="I667" s="8"/>
      <c r="J667" s="8"/>
      <c r="K667" s="8"/>
      <c r="L667" s="8"/>
      <c r="M667" s="8"/>
    </row>
    <row r="668" spans="3:13">
      <c r="C668" s="8"/>
      <c r="D668" s="8"/>
      <c r="E668" s="8"/>
      <c r="F668" s="8"/>
      <c r="H668" s="8"/>
      <c r="I668" s="8"/>
      <c r="J668" s="8"/>
      <c r="K668" s="8"/>
      <c r="L668" s="8"/>
      <c r="M668" s="8"/>
    </row>
    <row r="669" spans="3:13">
      <c r="C669" s="8"/>
      <c r="D669" s="8"/>
      <c r="E669" s="8"/>
      <c r="F669" s="8"/>
      <c r="H669" s="8"/>
      <c r="I669" s="8"/>
      <c r="J669" s="8"/>
      <c r="K669" s="8"/>
      <c r="L669" s="8"/>
      <c r="M669" s="8"/>
    </row>
    <row r="670" spans="3:13">
      <c r="C670" s="8"/>
      <c r="D670" s="8"/>
      <c r="E670" s="8"/>
      <c r="F670" s="8"/>
      <c r="H670" s="8"/>
      <c r="I670" s="8"/>
      <c r="J670" s="8"/>
      <c r="K670" s="8"/>
      <c r="L670" s="8"/>
      <c r="M670" s="8"/>
    </row>
    <row r="671" spans="3:13">
      <c r="C671" s="8"/>
      <c r="D671" s="8"/>
      <c r="E671" s="8"/>
      <c r="F671" s="8"/>
      <c r="H671" s="8"/>
      <c r="I671" s="8"/>
      <c r="J671" s="8"/>
      <c r="K671" s="8"/>
      <c r="L671" s="8"/>
      <c r="M671" s="8"/>
    </row>
    <row r="672" spans="3:13">
      <c r="C672" s="8"/>
      <c r="D672" s="8"/>
      <c r="E672" s="8"/>
      <c r="F672" s="8"/>
      <c r="H672" s="8"/>
      <c r="I672" s="8"/>
      <c r="J672" s="8"/>
      <c r="K672" s="8"/>
      <c r="L672" s="8"/>
      <c r="M672" s="8"/>
    </row>
    <row r="673" spans="1:13">
      <c r="C673" s="8"/>
      <c r="D673" s="8"/>
      <c r="E673" s="8"/>
      <c r="F673" s="8"/>
      <c r="H673" s="8"/>
      <c r="I673" s="8"/>
      <c r="J673" s="8"/>
      <c r="K673" s="8"/>
      <c r="L673" s="8"/>
      <c r="M673" s="8"/>
    </row>
    <row r="674" spans="1:13">
      <c r="C674" s="8"/>
      <c r="D674" s="8"/>
      <c r="E674" s="8"/>
      <c r="F674" s="8"/>
      <c r="H674" s="8"/>
      <c r="I674" s="8"/>
      <c r="J674" s="8"/>
      <c r="K674" s="8"/>
      <c r="L674" s="8"/>
      <c r="M674" s="8"/>
    </row>
    <row r="675" spans="1:13">
      <c r="C675" s="8"/>
      <c r="D675" s="8"/>
      <c r="E675" s="8"/>
      <c r="F675" s="8"/>
      <c r="H675" s="8"/>
      <c r="I675" s="8"/>
      <c r="J675" s="8"/>
      <c r="K675" s="8"/>
      <c r="L675" s="8"/>
      <c r="M675" s="8"/>
    </row>
    <row r="676" spans="1:13">
      <c r="C676" s="8"/>
      <c r="D676" s="8"/>
      <c r="E676" s="8"/>
      <c r="F676" s="8"/>
      <c r="H676" s="8"/>
      <c r="I676" s="8"/>
      <c r="J676" s="8"/>
      <c r="K676" s="8"/>
      <c r="L676" s="8"/>
      <c r="M676" s="8"/>
    </row>
    <row r="677" spans="1:13">
      <c r="C677" s="8"/>
      <c r="D677" s="8"/>
      <c r="E677" s="8"/>
      <c r="F677" s="8"/>
      <c r="H677" s="8"/>
      <c r="I677" s="8"/>
      <c r="J677" s="8"/>
      <c r="K677" s="8"/>
      <c r="L677" s="8"/>
      <c r="M677" s="8"/>
    </row>
    <row r="678" spans="1:13" ht="15.75" thickBot="1">
      <c r="C678" s="8"/>
      <c r="D678" s="8"/>
      <c r="E678" s="8"/>
      <c r="F678" s="8"/>
      <c r="H678" s="8"/>
      <c r="I678" s="8"/>
      <c r="J678" s="8"/>
      <c r="K678" s="8"/>
      <c r="L678" s="73"/>
      <c r="M678" s="73"/>
    </row>
    <row r="679" spans="1:13">
      <c r="C679" s="8"/>
      <c r="D679" s="8"/>
      <c r="E679" s="8"/>
      <c r="F679" s="8"/>
      <c r="H679" s="8"/>
      <c r="I679" s="8"/>
      <c r="J679" s="8"/>
      <c r="K679" s="8"/>
    </row>
    <row r="680" spans="1:13" ht="15.75" thickBot="1">
      <c r="A680" s="73"/>
      <c r="B680" s="73"/>
      <c r="C680" s="73"/>
      <c r="D680" s="73"/>
      <c r="E680" s="73"/>
      <c r="F680" s="73"/>
      <c r="H680" s="73"/>
      <c r="I680" s="73"/>
      <c r="J680" s="73"/>
      <c r="K680" s="73"/>
      <c r="L680" s="206"/>
      <c r="M680" s="207"/>
    </row>
    <row r="682" spans="1:13" s="75" customFormat="1" ht="61.5" customHeight="1">
      <c r="A682" s="129"/>
      <c r="B682" s="74"/>
      <c r="C682" s="206"/>
      <c r="D682" s="207"/>
      <c r="E682" s="206"/>
      <c r="F682" s="207"/>
      <c r="H682" s="206"/>
      <c r="I682" s="207"/>
      <c r="J682" s="206"/>
      <c r="K682" s="207"/>
      <c r="L682" s="5"/>
      <c r="M682" s="9"/>
    </row>
  </sheetData>
  <mergeCells count="37">
    <mergeCell ref="H6:I6"/>
    <mergeCell ref="J6:K6"/>
    <mergeCell ref="L6:M6"/>
    <mergeCell ref="L680:M680"/>
    <mergeCell ref="H682:I682"/>
    <mergeCell ref="J682:K682"/>
    <mergeCell ref="H4:I4"/>
    <mergeCell ref="J4:K4"/>
    <mergeCell ref="L4:M4"/>
    <mergeCell ref="H5:I5"/>
    <mergeCell ref="J5:K5"/>
    <mergeCell ref="L5:M5"/>
    <mergeCell ref="C682:D682"/>
    <mergeCell ref="E4:F4"/>
    <mergeCell ref="E5:F5"/>
    <mergeCell ref="E6:F6"/>
    <mergeCell ref="E682:F682"/>
    <mergeCell ref="A4:B5"/>
    <mergeCell ref="C4:D4"/>
    <mergeCell ref="C5:D5"/>
    <mergeCell ref="C6:D6"/>
    <mergeCell ref="A18:B18"/>
    <mergeCell ref="A6:B6"/>
    <mergeCell ref="A16:B16"/>
    <mergeCell ref="A7:B7"/>
    <mergeCell ref="A8:B8"/>
    <mergeCell ref="A10:B10"/>
    <mergeCell ref="A11:B11"/>
    <mergeCell ref="A12:B12"/>
    <mergeCell ref="A13:B13"/>
    <mergeCell ref="A14:B14"/>
    <mergeCell ref="A15:B15"/>
    <mergeCell ref="A23:B23"/>
    <mergeCell ref="A208:B213"/>
    <mergeCell ref="A19:B19"/>
    <mergeCell ref="A20:B20"/>
    <mergeCell ref="A21:B21"/>
  </mergeCells>
  <phoneticPr fontId="2" type="noConversion"/>
  <conditionalFormatting sqref="C21">
    <cfRule type="expression" dxfId="19" priority="19">
      <formula>IF(LEFT(#REF!, 2)="03", TRUE, FALSE)</formula>
    </cfRule>
  </conditionalFormatting>
  <conditionalFormatting sqref="C22">
    <cfRule type="expression" dxfId="18" priority="18">
      <formula>IF(LEFT(#REF!, 2)="03", TRUE, FALSE)</formula>
    </cfRule>
  </conditionalFormatting>
  <conditionalFormatting sqref="C6">
    <cfRule type="expression" dxfId="17" priority="17">
      <formula>IF(RIGHT(D64, 2)="00", TRUE, FALSE)</formula>
    </cfRule>
  </conditionalFormatting>
  <conditionalFormatting sqref="D6">
    <cfRule type="expression" dxfId="16" priority="20">
      <formula>IF(RIGHT(#REF!, 2)="00", TRUE, FALSE)</formula>
    </cfRule>
  </conditionalFormatting>
  <conditionalFormatting sqref="E21">
    <cfRule type="expression" dxfId="15" priority="15">
      <formula>IF(LEFT(#REF!, 2)="03", TRUE, FALSE)</formula>
    </cfRule>
  </conditionalFormatting>
  <conditionalFormatting sqref="E22">
    <cfRule type="expression" dxfId="14" priority="14">
      <formula>IF(LEFT(#REF!, 2)="03", TRUE, FALSE)</formula>
    </cfRule>
  </conditionalFormatting>
  <conditionalFormatting sqref="E6">
    <cfRule type="expression" dxfId="13" priority="13">
      <formula>IF(RIGHT(F64, 2)="00", TRUE, FALSE)</formula>
    </cfRule>
  </conditionalFormatting>
  <conditionalFormatting sqref="F6">
    <cfRule type="expression" dxfId="12" priority="16">
      <formula>IF(RIGHT(#REF!, 2)="00", TRUE, FALSE)</formula>
    </cfRule>
  </conditionalFormatting>
  <conditionalFormatting sqref="J21">
    <cfRule type="expression" dxfId="11" priority="11">
      <formula>IF(LEFT(#REF!, 2)="03", TRUE, FALSE)</formula>
    </cfRule>
  </conditionalFormatting>
  <conditionalFormatting sqref="J22">
    <cfRule type="expression" dxfId="10" priority="10">
      <formula>IF(LEFT(#REF!, 2)="03", TRUE, FALSE)</formula>
    </cfRule>
  </conditionalFormatting>
  <conditionalFormatting sqref="J6">
    <cfRule type="expression" dxfId="9" priority="9">
      <formula>IF(RIGHT(K64, 2)="00", TRUE, FALSE)</formula>
    </cfRule>
  </conditionalFormatting>
  <conditionalFormatting sqref="K6">
    <cfRule type="expression" dxfId="8" priority="12">
      <formula>IF(RIGHT(#REF!, 2)="00", TRUE, FALSE)</formula>
    </cfRule>
  </conditionalFormatting>
  <conditionalFormatting sqref="H21">
    <cfRule type="expression" dxfId="7" priority="7">
      <formula>IF(LEFT(#REF!, 2)="03", TRUE, FALSE)</formula>
    </cfRule>
  </conditionalFormatting>
  <conditionalFormatting sqref="H22">
    <cfRule type="expression" dxfId="6" priority="6">
      <formula>IF(LEFT(#REF!, 2)="03", TRUE, FALSE)</formula>
    </cfRule>
  </conditionalFormatting>
  <conditionalFormatting sqref="H6">
    <cfRule type="expression" dxfId="5" priority="5">
      <formula>IF(RIGHT(I64, 2)="00", TRUE, FALSE)</formula>
    </cfRule>
  </conditionalFormatting>
  <conditionalFormatting sqref="I6">
    <cfRule type="expression" dxfId="4" priority="8">
      <formula>IF(RIGHT(#REF!, 2)="00", TRUE, FALSE)</formula>
    </cfRule>
  </conditionalFormatting>
  <conditionalFormatting sqref="L21">
    <cfRule type="expression" dxfId="3" priority="4">
      <formula>IF(LEFT(#REF!, 2)="03", TRUE, FALSE)</formula>
    </cfRule>
  </conditionalFormatting>
  <conditionalFormatting sqref="L22">
    <cfRule type="expression" dxfId="2" priority="3">
      <formula>IF(LEFT(#REF!, 2)="03", TRUE, FALSE)</formula>
    </cfRule>
  </conditionalFormatting>
  <conditionalFormatting sqref="L6">
    <cfRule type="expression" dxfId="1" priority="1">
      <formula>IF(RIGHT(M64, 2)="00", TRUE, FALSE)</formula>
    </cfRule>
  </conditionalFormatting>
  <conditionalFormatting sqref="M6">
    <cfRule type="expression" dxfId="0" priority="2">
      <formula>IF(RIGHT(#REF!, 2)="00", TRUE, 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TnP</vt:lpstr>
      <vt:lpstr>Global</vt:lpstr>
      <vt:lpstr>mode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hyeonji</dc:creator>
  <cp:lastModifiedBy>SAMSUNG</cp:lastModifiedBy>
  <dcterms:created xsi:type="dcterms:W3CDTF">2015-11-17T08:21:51Z</dcterms:created>
  <dcterms:modified xsi:type="dcterms:W3CDTF">2025-04-30T03:21:39Z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C:\Users\kiryel.ko\AppData\Local\Microsoft\Windows\INetCache\IE\01BXNYVM\S5K3T1SP_EVT1_Reference_Setfile_v0.3a.xlsx</vt:lpwstr>
  </property>
</Properties>
</file>